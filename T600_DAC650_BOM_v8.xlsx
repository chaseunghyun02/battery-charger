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oogle 드라이브\@ 벡터전자\@@@ 제품개발\콘트롤러 T600\"/>
    </mc:Choice>
  </mc:AlternateContent>
  <xr:revisionPtr revIDLastSave="0" documentId="8_{D9B92A7C-D1C7-4633-92DD-7E28BCF5C9A6}" xr6:coauthVersionLast="47" xr6:coauthVersionMax="47" xr10:uidLastSave="{00000000-0000-0000-0000-000000000000}"/>
  <bookViews>
    <workbookView xWindow="8625" yWindow="1875" windowWidth="28800" windowHeight="15345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3" i="1" l="1"/>
  <c r="J42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<sst xmlns="http://schemas.openxmlformats.org/spreadsheetml/2006/main" count="269" uniqueCount="140">
  <si>
    <r>
      <rPr>
        <b/>
        <sz val="14"/>
        <rFont val="Arial"/>
        <family val="2"/>
      </rPr>
      <t xml:space="preserve">T600 / DAC-650 </t>
    </r>
    <r>
      <rPr>
        <b/>
        <sz val="14"/>
        <rFont val="Noto Sans CJK SC"/>
        <family val="2"/>
      </rPr>
      <t xml:space="preserve">충전기 컨트롤러 — 자재명세서 </t>
    </r>
    <r>
      <rPr>
        <b/>
        <sz val="14"/>
        <rFont val="Arial"/>
        <family val="2"/>
      </rPr>
      <t>(BOM) v8</t>
    </r>
  </si>
  <si>
    <r>
      <rPr>
        <i/>
        <sz val="9"/>
        <color rgb="FF555555"/>
        <rFont val="Arial"/>
        <family val="2"/>
      </rPr>
      <t>Control PCB(</t>
    </r>
    <r>
      <rPr>
        <i/>
        <sz val="9"/>
        <color rgb="FF555555"/>
        <rFont val="Noto Sans CJK SC"/>
        <family val="2"/>
      </rPr>
      <t>공용</t>
    </r>
    <r>
      <rPr>
        <i/>
        <sz val="9"/>
        <color rgb="FF555555"/>
        <rFont val="Arial"/>
        <family val="2"/>
      </rPr>
      <t xml:space="preserve">, FET </t>
    </r>
    <r>
      <rPr>
        <i/>
        <sz val="9"/>
        <color rgb="FF555555"/>
        <rFont val="Noto Sans CJK SC"/>
        <family val="2"/>
      </rPr>
      <t>미실장</t>
    </r>
    <r>
      <rPr>
        <i/>
        <sz val="9"/>
        <color rgb="FF555555"/>
        <rFont val="Arial"/>
        <family val="2"/>
      </rPr>
      <t xml:space="preserve">) + FET </t>
    </r>
    <r>
      <rPr>
        <i/>
        <sz val="9"/>
        <color rgb="FF555555"/>
        <rFont val="Noto Sans CJK SC"/>
        <family val="2"/>
      </rPr>
      <t>애드인 모듈</t>
    </r>
    <r>
      <rPr>
        <i/>
        <sz val="9"/>
        <color rgb="FF555555"/>
        <rFont val="Arial"/>
        <family val="2"/>
      </rPr>
      <t xml:space="preserve">(40A/100A, 2oz </t>
    </r>
    <r>
      <rPr>
        <i/>
        <sz val="9"/>
        <color rgb="FF555555"/>
        <rFont val="Noto Sans CJK SC"/>
        <family val="2"/>
      </rPr>
      <t>동박</t>
    </r>
    <r>
      <rPr>
        <i/>
        <sz val="9"/>
        <color rgb="FF555555"/>
        <rFont val="Arial"/>
        <family val="2"/>
      </rPr>
      <t xml:space="preserve">, </t>
    </r>
    <r>
      <rPr>
        <i/>
        <sz val="9"/>
        <color rgb="FF555555"/>
        <rFont val="Noto Sans CJK SC"/>
        <family val="2"/>
      </rPr>
      <t>헤더 스택 실장</t>
    </r>
    <r>
      <rPr>
        <i/>
        <sz val="9"/>
        <color rgb="FF555555"/>
        <rFont val="Arial"/>
        <family val="2"/>
      </rPr>
      <t xml:space="preserve">) + Sub PCB </t>
    </r>
    <r>
      <rPr>
        <i/>
        <sz val="9"/>
        <color rgb="FF555555"/>
        <rFont val="Noto Sans CJK SC"/>
        <family val="2"/>
      </rPr>
      <t xml:space="preserve">구조 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아트웍 사양서 </t>
    </r>
    <r>
      <rPr>
        <i/>
        <sz val="9"/>
        <color rgb="FF555555"/>
        <rFont val="Arial"/>
        <family val="2"/>
      </rPr>
      <t xml:space="preserve">Rev.12 </t>
    </r>
    <r>
      <rPr>
        <i/>
        <sz val="9"/>
        <color rgb="FF555555"/>
        <rFont val="Noto Sans CJK SC"/>
        <family val="2"/>
      </rPr>
      <t>반영</t>
    </r>
    <r>
      <rPr>
        <i/>
        <sz val="9"/>
        <color rgb="FF555555"/>
        <rFont val="Arial"/>
        <family val="2"/>
      </rPr>
      <t xml:space="preserve">). ANODE/CATHODE </t>
    </r>
    <r>
      <rPr>
        <i/>
        <sz val="9"/>
        <color rgb="FF555555"/>
        <rFont val="Noto Sans CJK SC"/>
        <family val="2"/>
      </rPr>
      <t xml:space="preserve">정정에 따라 </t>
    </r>
    <r>
      <rPr>
        <i/>
        <sz val="9"/>
        <color rgb="FF555555"/>
        <rFont val="Arial"/>
        <family val="2"/>
      </rPr>
      <t xml:space="preserve">FET </t>
    </r>
    <r>
      <rPr>
        <i/>
        <sz val="9"/>
        <color rgb="FF555555"/>
        <rFont val="Noto Sans CJK SC"/>
        <family val="2"/>
      </rPr>
      <t>탭</t>
    </r>
    <r>
      <rPr>
        <i/>
        <sz val="9"/>
        <color rgb="FF555555"/>
        <rFont val="Arial"/>
        <family val="2"/>
      </rPr>
      <t xml:space="preserve">(CATHODE, </t>
    </r>
    <r>
      <rPr>
        <i/>
        <sz val="9"/>
        <color rgb="FF555555"/>
        <rFont val="Noto Sans CJK SC"/>
        <family val="2"/>
      </rPr>
      <t>배터리측 개별넷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 xml:space="preserve">이 확인되어 공용 방열판에 </t>
    </r>
    <r>
      <rPr>
        <i/>
        <sz val="9"/>
        <color rgb="FF555555"/>
        <rFont val="Arial"/>
        <family val="2"/>
      </rPr>
      <t>FET</t>
    </r>
    <r>
      <rPr>
        <i/>
        <sz val="9"/>
        <color rgb="FF555555"/>
        <rFont val="Noto Sans CJK SC"/>
        <family val="2"/>
      </rPr>
      <t>별 개별 절연패드를 필수 적용한다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보호 </t>
    </r>
    <r>
      <rPr>
        <i/>
        <sz val="9"/>
        <color rgb="FF555555"/>
        <rFont val="Arial"/>
        <family val="2"/>
      </rPr>
      <t>FET</t>
    </r>
    <r>
      <rPr>
        <i/>
        <sz val="9"/>
        <color rgb="FF555555"/>
        <rFont val="Noto Sans CJK SC"/>
        <family val="2"/>
      </rPr>
      <t xml:space="preserve">는 </t>
    </r>
    <r>
      <rPr>
        <i/>
        <sz val="9"/>
        <color rgb="FF555555"/>
        <rFont val="Arial"/>
        <family val="2"/>
      </rPr>
      <t xml:space="preserve">STP310N10F7, 40A </t>
    </r>
    <r>
      <rPr>
        <i/>
        <sz val="9"/>
        <color rgb="FF555555"/>
        <rFont val="Noto Sans CJK SC"/>
        <family val="2"/>
      </rPr>
      <t xml:space="preserve">모듈은 </t>
    </r>
    <r>
      <rPr>
        <i/>
        <sz val="9"/>
        <color rgb="FF555555"/>
        <rFont val="Arial"/>
        <family val="2"/>
      </rPr>
      <t>FET1/FET2(2</t>
    </r>
    <r>
      <rPr>
        <i/>
        <sz val="9"/>
        <color rgb="FF555555"/>
        <rFont val="Noto Sans CJK SC"/>
        <family val="2"/>
      </rPr>
      <t>개소</t>
    </r>
    <r>
      <rPr>
        <i/>
        <sz val="9"/>
        <color rgb="FF555555"/>
        <rFont val="Arial"/>
        <family val="2"/>
      </rPr>
      <t xml:space="preserve">), 100A </t>
    </r>
    <r>
      <rPr>
        <i/>
        <sz val="9"/>
        <color rgb="FF555555"/>
        <rFont val="Noto Sans CJK SC"/>
        <family val="2"/>
      </rPr>
      <t xml:space="preserve">모듈은 </t>
    </r>
    <r>
      <rPr>
        <i/>
        <sz val="9"/>
        <color rgb="FF555555"/>
        <rFont val="Arial"/>
        <family val="2"/>
      </rPr>
      <t>FET1~FET4(4</t>
    </r>
    <r>
      <rPr>
        <i/>
        <sz val="9"/>
        <color rgb="FF555555"/>
        <rFont val="Noto Sans CJK SC"/>
        <family val="2"/>
      </rPr>
      <t>개소</t>
    </r>
    <r>
      <rPr>
        <i/>
        <sz val="9"/>
        <color rgb="FF555555"/>
        <rFont val="Arial"/>
        <family val="2"/>
      </rPr>
      <t xml:space="preserve">) — </t>
    </r>
    <r>
      <rPr>
        <i/>
        <sz val="9"/>
        <color rgb="FF555555"/>
        <rFont val="Noto Sans CJK SC"/>
        <family val="2"/>
      </rPr>
      <t xml:space="preserve">두 모듈은 상호 배타적 옵션이며 </t>
    </r>
    <r>
      <rPr>
        <i/>
        <sz val="9"/>
        <color rgb="FF555555"/>
        <rFont val="Arial"/>
        <family val="2"/>
      </rPr>
      <t>Control PCB</t>
    </r>
    <r>
      <rPr>
        <i/>
        <sz val="9"/>
        <color rgb="FF555555"/>
        <rFont val="Noto Sans CJK SC"/>
        <family val="2"/>
      </rPr>
      <t>는 완전 공용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 xml:space="preserve">전 규격 </t>
    </r>
    <r>
      <rPr>
        <i/>
        <sz val="9"/>
        <color rgb="FF555555"/>
        <rFont val="Arial"/>
        <family val="2"/>
      </rPr>
      <t xml:space="preserve">FET </t>
    </r>
    <r>
      <rPr>
        <i/>
        <sz val="9"/>
        <color rgb="FF555555"/>
        <rFont val="Noto Sans CJK SC"/>
        <family val="2"/>
      </rPr>
      <t>미실장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이다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>배터리 출력 커넥터</t>
    </r>
    <r>
      <rPr>
        <i/>
        <sz val="9"/>
        <color rgb="FF555555"/>
        <rFont val="Arial"/>
        <family val="2"/>
      </rPr>
      <t>(PP45/SB120)</t>
    </r>
    <r>
      <rPr>
        <i/>
        <sz val="9"/>
        <color rgb="FF555555"/>
        <rFont val="Noto Sans CJK SC"/>
        <family val="2"/>
      </rPr>
      <t>는 고객이 별도로 선정</t>
    </r>
    <r>
      <rPr>
        <i/>
        <sz val="9"/>
        <color rgb="FF555555"/>
        <rFont val="Arial"/>
        <family val="2"/>
      </rPr>
      <t>/</t>
    </r>
    <r>
      <rPr>
        <i/>
        <sz val="9"/>
        <color rgb="FF555555"/>
        <rFont val="Noto Sans CJK SC"/>
        <family val="2"/>
      </rPr>
      <t xml:space="preserve">조달하며 본 </t>
    </r>
    <r>
      <rPr>
        <i/>
        <sz val="9"/>
        <color rgb="FF555555"/>
        <rFont val="Arial"/>
        <family val="2"/>
      </rPr>
      <t>BOM</t>
    </r>
    <r>
      <rPr>
        <i/>
        <sz val="9"/>
        <color rgb="FF555555"/>
        <rFont val="Noto Sans CJK SC"/>
        <family val="2"/>
      </rPr>
      <t>에서 제외</t>
    </r>
    <r>
      <rPr>
        <i/>
        <sz val="9"/>
        <color rgb="FF555555"/>
        <rFont val="Arial"/>
        <family val="2"/>
      </rPr>
      <t>. Sub PCB</t>
    </r>
    <r>
      <rPr>
        <i/>
        <sz val="9"/>
        <color rgb="FF555555"/>
        <rFont val="Noto Sans CJK SC"/>
        <family val="2"/>
      </rPr>
      <t xml:space="preserve">는 </t>
    </r>
    <r>
      <rPr>
        <i/>
        <sz val="9"/>
        <color rgb="FF555555"/>
        <rFont val="Arial"/>
        <family val="2"/>
      </rPr>
      <t>FND/</t>
    </r>
    <r>
      <rPr>
        <i/>
        <sz val="9"/>
        <color rgb="FF555555"/>
        <rFont val="Noto Sans CJK SC"/>
        <family val="2"/>
      </rPr>
      <t>버튼</t>
    </r>
    <r>
      <rPr>
        <i/>
        <sz val="9"/>
        <color rgb="FF555555"/>
        <rFont val="Arial"/>
        <family val="2"/>
      </rPr>
      <t>/</t>
    </r>
    <r>
      <rPr>
        <i/>
        <sz val="9"/>
        <color rgb="FF555555"/>
        <rFont val="Noto Sans CJK SC"/>
        <family val="2"/>
      </rPr>
      <t>상태</t>
    </r>
    <r>
      <rPr>
        <i/>
        <sz val="9"/>
        <color rgb="FF555555"/>
        <rFont val="Arial"/>
        <family val="2"/>
      </rPr>
      <t xml:space="preserve">LED </t>
    </r>
    <r>
      <rPr>
        <i/>
        <sz val="9"/>
        <color rgb="FF555555"/>
        <rFont val="Noto Sans CJK SC"/>
        <family val="2"/>
      </rPr>
      <t>전용 전면판 보드로 라인업 전체에 공용</t>
    </r>
    <r>
      <rPr>
        <i/>
        <sz val="9"/>
        <color rgb="FF555555"/>
        <rFont val="Arial"/>
        <family val="2"/>
      </rPr>
      <t xml:space="preserve">. </t>
    </r>
    <r>
      <rPr>
        <i/>
        <sz val="9"/>
        <color rgb="FF555555"/>
        <rFont val="Noto Sans CJK SC"/>
        <family val="2"/>
      </rPr>
      <t xml:space="preserve">외부 </t>
    </r>
    <r>
      <rPr>
        <i/>
        <sz val="9"/>
        <color rgb="FF555555"/>
        <rFont val="Arial"/>
        <family val="2"/>
      </rPr>
      <t>SMPS/</t>
    </r>
    <r>
      <rPr>
        <i/>
        <sz val="9"/>
        <color rgb="FF555555"/>
        <rFont val="Noto Sans CJK SC"/>
        <family val="2"/>
      </rPr>
      <t>케이스팬</t>
    </r>
    <r>
      <rPr>
        <i/>
        <sz val="9"/>
        <color rgb="FF555555"/>
        <rFont val="Arial"/>
        <family val="2"/>
      </rPr>
      <t>/</t>
    </r>
    <r>
      <rPr>
        <i/>
        <sz val="9"/>
        <color rgb="FF555555"/>
        <rFont val="Noto Sans CJK SC"/>
        <family val="2"/>
      </rPr>
      <t xml:space="preserve">인클로저는 별도 조달로 본 </t>
    </r>
    <r>
      <rPr>
        <i/>
        <sz val="9"/>
        <color rgb="FF555555"/>
        <rFont val="Arial"/>
        <family val="2"/>
      </rPr>
      <t>BOM</t>
    </r>
    <r>
      <rPr>
        <i/>
        <sz val="9"/>
        <color rgb="FF555555"/>
        <rFont val="Noto Sans CJK SC"/>
        <family val="2"/>
      </rPr>
      <t>에서 제외</t>
    </r>
    <r>
      <rPr>
        <i/>
        <sz val="9"/>
        <color rgb="FF555555"/>
        <rFont val="Arial"/>
        <family val="2"/>
      </rPr>
      <t>.</t>
    </r>
  </si>
  <si>
    <t>No.</t>
  </si>
  <si>
    <t>보드</t>
  </si>
  <si>
    <t>구분</t>
  </si>
  <si>
    <t>부품명</t>
  </si>
  <si>
    <r>
      <rPr>
        <b/>
        <sz val="10"/>
        <color rgb="FFFFFFFF"/>
        <rFont val="Arial"/>
        <family val="2"/>
      </rPr>
      <t xml:space="preserve">Spec / </t>
    </r>
    <r>
      <rPr>
        <b/>
        <sz val="10"/>
        <color rgb="FFFFFFFF"/>
        <rFont val="Noto Sans CJK SC"/>
        <family val="2"/>
      </rPr>
      <t>설명</t>
    </r>
  </si>
  <si>
    <t>제조사(예시)</t>
  </si>
  <si>
    <t>실장옵션</t>
  </si>
  <si>
    <t>수량</t>
  </si>
  <si>
    <t>단가(USD)</t>
  </si>
  <si>
    <t>금액(USD)</t>
  </si>
  <si>
    <t>비고</t>
  </si>
  <si>
    <t>Control PCB</t>
  </si>
  <si>
    <t>전원입력/보호단</t>
  </si>
  <si>
    <t>입력단 릴레이</t>
  </si>
  <si>
    <r>
      <rPr>
        <i/>
        <sz val="10"/>
        <color rgb="FF7F6000"/>
        <rFont val="Arial"/>
        <family val="2"/>
      </rPr>
      <t xml:space="preserve">12V </t>
    </r>
    <r>
      <rPr>
        <i/>
        <sz val="10"/>
        <color rgb="FF7F6000"/>
        <rFont val="Noto Sans CJK SC"/>
        <family val="2"/>
      </rPr>
      <t>코일</t>
    </r>
    <r>
      <rPr>
        <i/>
        <sz val="10"/>
        <color rgb="FF7F6000"/>
        <rFont val="Arial"/>
        <family val="2"/>
      </rPr>
      <t>, 20A/250VAC</t>
    </r>
  </si>
  <si>
    <t>Hongfa (HF115F/012-1HS3A)</t>
  </si>
  <si>
    <t>공통</t>
  </si>
  <si>
    <r>
      <rPr>
        <i/>
        <sz val="10"/>
        <color rgb="FF7F6000"/>
        <rFont val="Arial"/>
        <family val="2"/>
      </rPr>
      <t>AC</t>
    </r>
    <r>
      <rPr>
        <i/>
        <sz val="10"/>
        <color rgb="FF7F6000"/>
        <rFont val="Noto Sans CJK SC"/>
        <family val="2"/>
      </rPr>
      <t>측 스위칭</t>
    </r>
    <r>
      <rPr>
        <i/>
        <sz val="10"/>
        <color rgb="FF7F6000"/>
        <rFont val="Arial"/>
        <family val="2"/>
      </rPr>
      <t xml:space="preserve">, 110V/220V </t>
    </r>
    <r>
      <rPr>
        <i/>
        <sz val="10"/>
        <color rgb="FF7F6000"/>
        <rFont val="Noto Sans CJK SC"/>
        <family val="2"/>
      </rPr>
      <t>겸용</t>
    </r>
  </si>
  <si>
    <t>역접속 보호 컨트롤러 (U1)</t>
  </si>
  <si>
    <r>
      <rPr>
        <i/>
        <sz val="10"/>
        <color rgb="FF7F6000"/>
        <rFont val="Arial"/>
        <family val="2"/>
      </rPr>
      <t xml:space="preserve">SOT23-6, 3.2~65V, 0.45µs </t>
    </r>
    <r>
      <rPr>
        <i/>
        <sz val="10"/>
        <color rgb="FF7F6000"/>
        <rFont val="Noto Sans CJK SC"/>
        <family val="2"/>
      </rPr>
      <t>자동차단</t>
    </r>
  </si>
  <si>
    <t>TI (LM74700QDBVRQ1)</t>
  </si>
  <si>
    <r>
      <rPr>
        <i/>
        <sz val="10"/>
        <color rgb="FF7F6000"/>
        <rFont val="Arial"/>
        <family val="2"/>
      </rPr>
      <t xml:space="preserve">ANODE/GATE </t>
    </r>
    <r>
      <rPr>
        <i/>
        <sz val="10"/>
        <color rgb="FF7F6000"/>
        <rFont val="Noto Sans CJK SC"/>
        <family val="2"/>
      </rPr>
      <t xml:space="preserve">공통넷을 헤더로 </t>
    </r>
    <r>
      <rPr>
        <i/>
        <sz val="10"/>
        <color rgb="FF7F6000"/>
        <rFont val="Arial"/>
        <family val="2"/>
      </rPr>
      <t xml:space="preserve">FET </t>
    </r>
    <r>
      <rPr>
        <i/>
        <sz val="10"/>
        <color rgb="FF7F6000"/>
        <rFont val="Noto Sans CJK SC"/>
        <family val="2"/>
      </rPr>
      <t>모듈에 전달</t>
    </r>
    <r>
      <rPr>
        <i/>
        <sz val="10"/>
        <color rgb="FF7F6000"/>
        <rFont val="Arial"/>
        <family val="2"/>
      </rPr>
      <t>, CATHODE</t>
    </r>
    <r>
      <rPr>
        <i/>
        <sz val="10"/>
        <color rgb="FF7F6000"/>
        <rFont val="Noto Sans CJK SC"/>
        <family val="2"/>
      </rPr>
      <t xml:space="preserve">는 </t>
    </r>
    <r>
      <rPr>
        <i/>
        <sz val="10"/>
        <color rgb="FF7F6000"/>
        <rFont val="Arial"/>
        <family val="2"/>
      </rPr>
      <t>FET1</t>
    </r>
    <r>
      <rPr>
        <i/>
        <sz val="10"/>
        <color rgb="FF7F6000"/>
        <rFont val="Noto Sans CJK SC"/>
        <family val="2"/>
      </rPr>
      <t>만 대표 센싱</t>
    </r>
    <r>
      <rPr>
        <i/>
        <sz val="10"/>
        <color rgb="FF7F6000"/>
        <rFont val="Arial"/>
        <family val="2"/>
      </rPr>
      <t>(3.5</t>
    </r>
    <r>
      <rPr>
        <i/>
        <sz val="10"/>
        <color rgb="FF7F6000"/>
        <rFont val="Noto Sans CJK SC"/>
        <family val="2"/>
      </rPr>
      <t>절</t>
    </r>
    <r>
      <rPr>
        <i/>
        <sz val="10"/>
        <color rgb="FF7F6000"/>
        <rFont val="Arial"/>
        <family val="2"/>
      </rPr>
      <t>)</t>
    </r>
  </si>
  <si>
    <t>충전펌프 캐패시터 (VCAP)</t>
  </si>
  <si>
    <t>0.1µF, X7R, 25V</t>
  </si>
  <si>
    <t>-</t>
  </si>
  <si>
    <r>
      <rPr>
        <i/>
        <sz val="10"/>
        <color rgb="FF7F6000"/>
        <rFont val="Arial"/>
        <family val="2"/>
      </rPr>
      <t xml:space="preserve">U1 VCAP-ANODE </t>
    </r>
    <r>
      <rPr>
        <i/>
        <sz val="10"/>
        <color rgb="FF7F6000"/>
        <rFont val="Noto Sans CJK SC"/>
        <family val="2"/>
      </rPr>
      <t>간</t>
    </r>
    <r>
      <rPr>
        <i/>
        <sz val="10"/>
        <color rgb="FF7F6000"/>
        <rFont val="Arial"/>
        <family val="2"/>
      </rPr>
      <t xml:space="preserve">, </t>
    </r>
    <r>
      <rPr>
        <i/>
        <sz val="10"/>
        <color rgb="FF7F6000"/>
        <rFont val="Noto Sans CJK SC"/>
        <family val="2"/>
      </rPr>
      <t>게이트 구동용</t>
    </r>
  </si>
  <si>
    <t>ANODE 입력 캐패시터 (CIN)</t>
  </si>
  <si>
    <r>
      <rPr>
        <i/>
        <sz val="10"/>
        <color rgb="FF7F6000"/>
        <rFont val="Arial"/>
        <family val="2"/>
      </rPr>
      <t xml:space="preserve">22nF </t>
    </r>
    <r>
      <rPr>
        <i/>
        <sz val="10"/>
        <color rgb="FF7F6000"/>
        <rFont val="Noto Sans CJK SC"/>
        <family val="2"/>
      </rPr>
      <t>이상</t>
    </r>
    <r>
      <rPr>
        <i/>
        <sz val="10"/>
        <color rgb="FF7F6000"/>
        <rFont val="Arial"/>
        <family val="2"/>
      </rPr>
      <t>, X7R</t>
    </r>
  </si>
  <si>
    <r>
      <rPr>
        <i/>
        <sz val="10"/>
        <color rgb="FF7F6000"/>
        <rFont val="Arial"/>
        <family val="2"/>
      </rPr>
      <t xml:space="preserve">U1 ANODE-GND </t>
    </r>
    <r>
      <rPr>
        <i/>
        <sz val="10"/>
        <color rgb="FF7F6000"/>
        <rFont val="Noto Sans CJK SC"/>
        <family val="2"/>
      </rPr>
      <t xml:space="preserve">간 </t>
    </r>
    <r>
      <rPr>
        <i/>
        <sz val="10"/>
        <color rgb="FF7F6000"/>
        <rFont val="Arial"/>
        <family val="2"/>
      </rPr>
      <t>(</t>
    </r>
    <r>
      <rPr>
        <i/>
        <sz val="10"/>
        <color rgb="FF7F6000"/>
        <rFont val="Noto Sans CJK SC"/>
        <family val="2"/>
      </rPr>
      <t>데이터시트 권장</t>
    </r>
    <r>
      <rPr>
        <i/>
        <sz val="10"/>
        <color rgb="FF7F6000"/>
        <rFont val="Arial"/>
        <family val="2"/>
      </rPr>
      <t>)</t>
    </r>
  </si>
  <si>
    <t>AC 입력 터미널블록(2P)</t>
  </si>
  <si>
    <r>
      <rPr>
        <i/>
        <sz val="10"/>
        <color rgb="FF7F6000"/>
        <rFont val="Arial"/>
        <family val="2"/>
      </rPr>
      <t>300V/20A</t>
    </r>
    <r>
      <rPr>
        <i/>
        <sz val="10"/>
        <color rgb="FF7F6000"/>
        <rFont val="Noto Sans CJK SC"/>
        <family val="2"/>
      </rPr>
      <t>급</t>
    </r>
    <r>
      <rPr>
        <i/>
        <sz val="10"/>
        <color rgb="FF7F6000"/>
        <rFont val="Arial"/>
        <family val="2"/>
      </rPr>
      <t xml:space="preserve">, 5.08mm </t>
    </r>
    <r>
      <rPr>
        <i/>
        <sz val="10"/>
        <color rgb="FF7F6000"/>
        <rFont val="Noto Sans CJK SC"/>
        <family val="2"/>
      </rPr>
      <t>피치</t>
    </r>
  </si>
  <si>
    <r>
      <rPr>
        <i/>
        <sz val="10"/>
        <color rgb="FF7F6000"/>
        <rFont val="Noto Sans CJK SC"/>
        <family val="2"/>
      </rPr>
      <t>예시</t>
    </r>
    <r>
      <rPr>
        <i/>
        <sz val="10"/>
        <color rgb="FF7F6000"/>
        <rFont val="Arial"/>
        <family val="2"/>
      </rPr>
      <t>: Degson</t>
    </r>
  </si>
  <si>
    <r>
      <rPr>
        <i/>
        <sz val="10"/>
        <color rgb="FF7F6000"/>
        <rFont val="Noto Sans CJK SC"/>
        <family val="2"/>
      </rPr>
      <t>견적 필요</t>
    </r>
    <r>
      <rPr>
        <i/>
        <sz val="10"/>
        <color rgb="FF7F6000"/>
        <rFont val="Arial"/>
        <family val="2"/>
      </rPr>
      <t>(</t>
    </r>
    <r>
      <rPr>
        <i/>
        <sz val="10"/>
        <color rgb="FF7F6000"/>
        <rFont val="Noto Sans CJK SC"/>
        <family val="2"/>
      </rPr>
      <t>벤더 확정 전 추정가</t>
    </r>
    <r>
      <rPr>
        <i/>
        <sz val="10"/>
        <color rgb="FF7F6000"/>
        <rFont val="Arial"/>
        <family val="2"/>
      </rPr>
      <t>)</t>
    </r>
  </si>
  <si>
    <t>FET 모듈 인터페이스 소켓(Control PCB측, 암)</t>
  </si>
  <si>
    <r>
      <rPr>
        <i/>
        <sz val="10"/>
        <color rgb="FF7F6000"/>
        <rFont val="Arial"/>
        <family val="2"/>
      </rPr>
      <t>2~3</t>
    </r>
    <r>
      <rPr>
        <i/>
        <sz val="10"/>
        <color rgb="FF7F6000"/>
        <rFont val="Noto Sans CJK SC"/>
        <family val="2"/>
      </rPr>
      <t>핀</t>
    </r>
    <r>
      <rPr>
        <i/>
        <sz val="10"/>
        <color rgb="FF7F6000"/>
        <rFont val="Arial"/>
        <family val="2"/>
      </rPr>
      <t xml:space="preserve">, 2.54mm </t>
    </r>
    <r>
      <rPr>
        <i/>
        <sz val="10"/>
        <color rgb="FF7F6000"/>
        <rFont val="Noto Sans CJK SC"/>
        <family val="2"/>
      </rPr>
      <t>피치</t>
    </r>
  </si>
  <si>
    <r>
      <rPr>
        <i/>
        <sz val="10"/>
        <color rgb="FF7F6000"/>
        <rFont val="Arial"/>
        <family val="2"/>
      </rPr>
      <t>ANODE+GATE(+</t>
    </r>
    <r>
      <rPr>
        <i/>
        <sz val="10"/>
        <color rgb="FF7F6000"/>
        <rFont val="Noto Sans CJK SC"/>
        <family val="2"/>
      </rPr>
      <t>선택적 키잉 핀</t>
    </r>
    <r>
      <rPr>
        <i/>
        <sz val="10"/>
        <color rgb="FF7F6000"/>
        <rFont val="Arial"/>
        <family val="2"/>
      </rPr>
      <t xml:space="preserve">), FET </t>
    </r>
    <r>
      <rPr>
        <i/>
        <sz val="10"/>
        <color rgb="FF7F6000"/>
        <rFont val="Noto Sans CJK SC"/>
        <family val="2"/>
      </rPr>
      <t>모듈 헤더와 스택 결합</t>
    </r>
    <r>
      <rPr>
        <i/>
        <sz val="10"/>
        <color rgb="FF7F6000"/>
        <rFont val="Arial"/>
        <family val="2"/>
      </rPr>
      <t xml:space="preserve">. </t>
    </r>
    <r>
      <rPr>
        <i/>
        <sz val="10"/>
        <color rgb="FF7F6000"/>
        <rFont val="Noto Sans CJK SC"/>
        <family val="2"/>
      </rPr>
      <t xml:space="preserve">배터리측 </t>
    </r>
    <r>
      <rPr>
        <i/>
        <sz val="10"/>
        <color rgb="FF7F6000"/>
        <rFont val="Arial"/>
        <family val="2"/>
      </rPr>
      <t xml:space="preserve">CATHODE </t>
    </r>
    <r>
      <rPr>
        <i/>
        <sz val="10"/>
        <color rgb="FF7F6000"/>
        <rFont val="Noto Sans CJK SC"/>
        <family val="2"/>
      </rPr>
      <t>크림프는 본 헤더 미경유</t>
    </r>
  </si>
  <si>
    <t>보조전원</t>
  </si>
  <si>
    <t>AUX AC-DC 모듈</t>
  </si>
  <si>
    <t>220V/110V In, 12V/3W Out</t>
  </si>
  <si>
    <t>Hi-Link (HLK-PM12)</t>
  </si>
  <si>
    <t>릴레이 앞단 상시 급전</t>
  </si>
  <si>
    <t>5V LDO 레귤레이터</t>
  </si>
  <si>
    <t>SOT-223, 12V→5V</t>
  </si>
  <si>
    <r>
      <rPr>
        <i/>
        <sz val="10"/>
        <color rgb="FF7F6000"/>
        <rFont val="Noto Sans CJK SC"/>
        <family val="2"/>
      </rPr>
      <t>예시</t>
    </r>
    <r>
      <rPr>
        <i/>
        <sz val="10"/>
        <color rgb="FF7F6000"/>
        <rFont val="Arial"/>
        <family val="2"/>
      </rPr>
      <t>: AMS1117-5.0</t>
    </r>
  </si>
  <si>
    <r>
      <rPr>
        <i/>
        <sz val="10"/>
        <color rgb="FF7F6000"/>
        <rFont val="Arial"/>
        <family val="2"/>
      </rPr>
      <t xml:space="preserve">MCU/FND/LED 5V </t>
    </r>
    <r>
      <rPr>
        <i/>
        <sz val="10"/>
        <color rgb="FF7F6000"/>
        <rFont val="Noto Sans CJK SC"/>
        <family val="2"/>
      </rPr>
      <t>레일</t>
    </r>
  </si>
  <si>
    <t>LDO 입출력 커패시터</t>
  </si>
  <si>
    <t>10µF, 16V, 0805</t>
  </si>
  <si>
    <r>
      <rPr>
        <i/>
        <sz val="10"/>
        <color rgb="FF7F6000"/>
        <rFont val="Arial"/>
        <family val="2"/>
      </rPr>
      <t xml:space="preserve">LDO </t>
    </r>
    <r>
      <rPr>
        <i/>
        <sz val="10"/>
        <color rgb="FF7F6000"/>
        <rFont val="Noto Sans CJK SC"/>
        <family val="2"/>
      </rPr>
      <t>안정화용</t>
    </r>
  </si>
  <si>
    <t>컨트롤러</t>
  </si>
  <si>
    <t>MCU</t>
  </si>
  <si>
    <t>TSSOP20, 8KB Flash</t>
  </si>
  <si>
    <t>ST (STM8S003F3P6)</t>
  </si>
  <si>
    <r>
      <rPr>
        <i/>
        <sz val="10"/>
        <color rgb="FF7F6000"/>
        <rFont val="Arial"/>
        <family val="2"/>
      </rPr>
      <t>FND/</t>
    </r>
    <r>
      <rPr>
        <i/>
        <sz val="10"/>
        <color rgb="FF7F6000"/>
        <rFont val="Noto Sans CJK SC"/>
        <family val="2"/>
      </rPr>
      <t>버튼</t>
    </r>
    <r>
      <rPr>
        <i/>
        <sz val="10"/>
        <color rgb="FF7F6000"/>
        <rFont val="Arial"/>
        <family val="2"/>
      </rPr>
      <t>/LED</t>
    </r>
    <r>
      <rPr>
        <i/>
        <sz val="10"/>
        <color rgb="FF7F6000"/>
        <rFont val="Noto Sans CJK SC"/>
        <family val="2"/>
      </rPr>
      <t xml:space="preserve">는 </t>
    </r>
    <r>
      <rPr>
        <i/>
        <sz val="10"/>
        <color rgb="FF7F6000"/>
        <rFont val="Arial"/>
        <family val="2"/>
      </rPr>
      <t xml:space="preserve">Sub PCB </t>
    </r>
    <r>
      <rPr>
        <i/>
        <sz val="10"/>
        <color rgb="FF7F6000"/>
        <rFont val="Noto Sans CJK SC"/>
        <family val="2"/>
      </rPr>
      <t>헤더로 구동</t>
    </r>
    <r>
      <rPr>
        <i/>
        <sz val="10"/>
        <color rgb="FF7F6000"/>
        <rFont val="Arial"/>
        <family val="2"/>
      </rPr>
      <t>, ADC 2</t>
    </r>
    <r>
      <rPr>
        <i/>
        <sz val="10"/>
        <color rgb="FF7F6000"/>
        <rFont val="Noto Sans CJK SC"/>
        <family val="2"/>
      </rPr>
      <t>채널</t>
    </r>
  </si>
  <si>
    <t>릴레이 구동단</t>
  </si>
  <si>
    <t>릴레이 구동 트랜지스터(Q1)</t>
  </si>
  <si>
    <t>NPN, TO-92</t>
  </si>
  <si>
    <r>
      <rPr>
        <i/>
        <sz val="10"/>
        <color rgb="FF7F6000"/>
        <rFont val="Noto Sans CJK SC"/>
        <family val="2"/>
      </rPr>
      <t>예시</t>
    </r>
    <r>
      <rPr>
        <i/>
        <sz val="10"/>
        <color rgb="FF7F6000"/>
        <rFont val="Arial"/>
        <family val="2"/>
      </rPr>
      <t>: 2N2222</t>
    </r>
  </si>
  <si>
    <r>
      <rPr>
        <i/>
        <sz val="10"/>
        <color rgb="FF7F6000"/>
        <rFont val="Arial"/>
        <family val="2"/>
      </rPr>
      <t xml:space="preserve">RELAY_DRV → </t>
    </r>
    <r>
      <rPr>
        <i/>
        <sz val="10"/>
        <color rgb="FF7F6000"/>
        <rFont val="Noto Sans CJK SC"/>
        <family val="2"/>
      </rPr>
      <t>코일 저전위 스위칭</t>
    </r>
  </si>
  <si>
    <t>베이스 저항(Rb)</t>
  </si>
  <si>
    <t>1kΩ, 1/4W</t>
  </si>
  <si>
    <t>플라이백 다이오드(D1)</t>
  </si>
  <si>
    <t>1N4148</t>
  </si>
  <si>
    <t>코일 역기전력 클램프</t>
  </si>
  <si>
    <t>센싱</t>
  </si>
  <si>
    <t>VBATT 분압저항 R5</t>
  </si>
  <si>
    <t>100kΩ, 1%, 1/4W</t>
  </si>
  <si>
    <r>
      <rPr>
        <i/>
        <sz val="10"/>
        <color rgb="FF7F6000"/>
        <rFont val="Noto Sans CJK SC"/>
        <family val="2"/>
      </rPr>
      <t xml:space="preserve">최대 </t>
    </r>
    <r>
      <rPr>
        <i/>
        <sz val="10"/>
        <color rgb="FF7F6000"/>
        <rFont val="Arial"/>
        <family val="2"/>
      </rPr>
      <t xml:space="preserve">60V → ADC </t>
    </r>
    <r>
      <rPr>
        <i/>
        <sz val="10"/>
        <color rgb="FF7F6000"/>
        <rFont val="Noto Sans CJK SC"/>
        <family val="2"/>
      </rPr>
      <t xml:space="preserve">약 </t>
    </r>
    <r>
      <rPr>
        <i/>
        <sz val="10"/>
        <color rgb="FF7F6000"/>
        <rFont val="Arial"/>
        <family val="2"/>
      </rPr>
      <t>3.2V</t>
    </r>
  </si>
  <si>
    <t>VBATT 분압저항 R6</t>
  </si>
  <si>
    <t>5.6kΩ, 1%, 1/4W</t>
  </si>
  <si>
    <t>NTC 바이어스저항 R8</t>
  </si>
  <si>
    <t>10kΩ, 1/4W</t>
  </si>
  <si>
    <t>온도센서(NTC1)</t>
  </si>
  <si>
    <r>
      <rPr>
        <i/>
        <sz val="10"/>
        <color rgb="FF7F6000"/>
        <rFont val="Arial"/>
        <family val="2"/>
      </rPr>
      <t xml:space="preserve">10kΩ@25°C </t>
    </r>
    <r>
      <rPr>
        <i/>
        <sz val="10"/>
        <color rgb="FF7F6000"/>
        <rFont val="Noto Sans CJK SC"/>
        <family val="2"/>
      </rPr>
      <t>서미스터</t>
    </r>
  </si>
  <si>
    <t>충전기 온도 모니터링</t>
  </si>
  <si>
    <t>PCB/기타</t>
  </si>
  <si>
    <t>Sub PCB 인터페이스 헤더(Control PCB측)</t>
  </si>
  <si>
    <r>
      <rPr>
        <i/>
        <sz val="10"/>
        <color rgb="FF7F6000"/>
        <rFont val="Arial"/>
        <family val="2"/>
      </rPr>
      <t>6~10</t>
    </r>
    <r>
      <rPr>
        <i/>
        <sz val="10"/>
        <color rgb="FF7F6000"/>
        <rFont val="Noto Sans CJK SC"/>
        <family val="2"/>
      </rPr>
      <t>핀</t>
    </r>
    <r>
      <rPr>
        <i/>
        <sz val="10"/>
        <color rgb="FF7F6000"/>
        <rFont val="Arial"/>
        <family val="2"/>
      </rPr>
      <t xml:space="preserve">, 2.54mm </t>
    </r>
    <r>
      <rPr>
        <i/>
        <sz val="10"/>
        <color rgb="FF7F6000"/>
        <rFont val="Noto Sans CJK SC"/>
        <family val="2"/>
      </rPr>
      <t>피치</t>
    </r>
  </si>
  <si>
    <r>
      <rPr>
        <i/>
        <sz val="10"/>
        <color rgb="FF7F6000"/>
        <rFont val="Arial"/>
        <family val="2"/>
      </rPr>
      <t>FND/</t>
    </r>
    <r>
      <rPr>
        <i/>
        <sz val="10"/>
        <color rgb="FF7F6000"/>
        <rFont val="Noto Sans CJK SC"/>
        <family val="2"/>
      </rPr>
      <t>버튼</t>
    </r>
    <r>
      <rPr>
        <i/>
        <sz val="10"/>
        <color rgb="FF7F6000"/>
        <rFont val="Arial"/>
        <family val="2"/>
      </rPr>
      <t>/GND/</t>
    </r>
    <r>
      <rPr>
        <i/>
        <sz val="10"/>
        <color rgb="FF7F6000"/>
        <rFont val="Noto Sans CJK SC"/>
        <family val="2"/>
      </rPr>
      <t>로직전원 신호</t>
    </r>
  </si>
  <si>
    <t>Control PCB 원판</t>
  </si>
  <si>
    <r>
      <rPr>
        <i/>
        <sz val="10"/>
        <color rgb="FF7F6000"/>
        <rFont val="Arial"/>
        <family val="2"/>
      </rPr>
      <t>2</t>
    </r>
    <r>
      <rPr>
        <i/>
        <sz val="10"/>
        <color rgb="FF7F6000"/>
        <rFont val="Noto Sans CJK SC"/>
        <family val="2"/>
      </rPr>
      <t>층</t>
    </r>
    <r>
      <rPr>
        <i/>
        <sz val="10"/>
        <color rgb="FF7F6000"/>
        <rFont val="Arial"/>
        <family val="2"/>
      </rPr>
      <t xml:space="preserve">, 1oz </t>
    </r>
    <r>
      <rPr>
        <i/>
        <sz val="10"/>
        <color rgb="FF7F6000"/>
        <rFont val="Noto Sans CJK SC"/>
        <family val="2"/>
      </rPr>
      <t>동박</t>
    </r>
    <r>
      <rPr>
        <i/>
        <sz val="10"/>
        <color rgb="FF7F6000"/>
        <rFont val="Arial"/>
        <family val="2"/>
      </rPr>
      <t xml:space="preserve">(FET </t>
    </r>
    <r>
      <rPr>
        <i/>
        <sz val="10"/>
        <color rgb="FF7F6000"/>
        <rFont val="Noto Sans CJK SC"/>
        <family val="2"/>
      </rPr>
      <t>전류경로 없음</t>
    </r>
    <r>
      <rPr>
        <i/>
        <sz val="10"/>
        <color rgb="FF7F6000"/>
        <rFont val="Arial"/>
        <family val="2"/>
      </rPr>
      <t xml:space="preserve">, </t>
    </r>
    <r>
      <rPr>
        <i/>
        <sz val="10"/>
        <color rgb="FF7F6000"/>
        <rFont val="Noto Sans CJK SC"/>
        <family val="2"/>
      </rPr>
      <t>로직</t>
    </r>
    <r>
      <rPr>
        <i/>
        <sz val="10"/>
        <color rgb="FF7F6000"/>
        <rFont val="Arial"/>
        <family val="2"/>
      </rPr>
      <t>/</t>
    </r>
    <r>
      <rPr>
        <i/>
        <sz val="10"/>
        <color rgb="FF7F6000"/>
        <rFont val="Noto Sans CJK SC"/>
        <family val="2"/>
      </rPr>
      <t>센싱 전용</t>
    </r>
    <r>
      <rPr>
        <i/>
        <sz val="10"/>
        <color rgb="FF7F6000"/>
        <rFont val="Arial"/>
        <family val="2"/>
      </rPr>
      <t xml:space="preserve">), </t>
    </r>
    <r>
      <rPr>
        <i/>
        <sz val="10"/>
        <color rgb="FF7F6000"/>
        <rFont val="Noto Sans CJK SC"/>
        <family val="2"/>
      </rPr>
      <t xml:space="preserve">약 </t>
    </r>
    <r>
      <rPr>
        <i/>
        <sz val="10"/>
        <color rgb="FF7F6000"/>
        <rFont val="Arial"/>
        <family val="2"/>
      </rPr>
      <t>75×90mm</t>
    </r>
  </si>
  <si>
    <r>
      <rPr>
        <i/>
        <sz val="10"/>
        <color rgb="FF7F6000"/>
        <rFont val="Arial"/>
        <family val="2"/>
      </rPr>
      <t xml:space="preserve">40A/100A </t>
    </r>
    <r>
      <rPr>
        <i/>
        <sz val="10"/>
        <color rgb="FF7F6000"/>
        <rFont val="Noto Sans CJK SC"/>
        <family val="2"/>
      </rPr>
      <t xml:space="preserve">완전 공용 </t>
    </r>
    <r>
      <rPr>
        <i/>
        <sz val="10"/>
        <color rgb="FF7F6000"/>
        <rFont val="Arial"/>
        <family val="2"/>
      </rPr>
      <t>1</t>
    </r>
    <r>
      <rPr>
        <i/>
        <sz val="10"/>
        <color rgb="FF7F6000"/>
        <rFont val="Noto Sans CJK SC"/>
        <family val="2"/>
      </rPr>
      <t>종</t>
    </r>
    <r>
      <rPr>
        <i/>
        <sz val="10"/>
        <color rgb="FF7F6000"/>
        <rFont val="Arial"/>
        <family val="2"/>
      </rPr>
      <t xml:space="preserve">. FET </t>
    </r>
    <r>
      <rPr>
        <i/>
        <sz val="10"/>
        <color rgb="FF7F6000"/>
        <rFont val="Noto Sans CJK SC"/>
        <family val="2"/>
      </rPr>
      <t>미실장으로 이전</t>
    </r>
    <r>
      <rPr>
        <i/>
        <sz val="10"/>
        <color rgb="FF7F6000"/>
        <rFont val="Arial"/>
        <family val="2"/>
      </rPr>
      <t>(</t>
    </r>
    <r>
      <rPr>
        <i/>
        <sz val="10"/>
        <color rgb="FF7F6000"/>
        <rFont val="Noto Sans CJK SC"/>
        <family val="2"/>
      </rPr>
      <t xml:space="preserve">약 </t>
    </r>
    <r>
      <rPr>
        <i/>
        <sz val="10"/>
        <color rgb="FF7F6000"/>
        <rFont val="Arial"/>
        <family val="2"/>
      </rPr>
      <t xml:space="preserve">80×120mm) </t>
    </r>
    <r>
      <rPr>
        <i/>
        <sz val="10"/>
        <color rgb="FF7F6000"/>
        <rFont val="Noto Sans CJK SC"/>
        <family val="2"/>
      </rPr>
      <t>대비 소형화 및 동박 등급 하향</t>
    </r>
    <r>
      <rPr>
        <i/>
        <sz val="10"/>
        <color rgb="FF7F6000"/>
        <rFont val="Arial"/>
        <family val="2"/>
      </rPr>
      <t>(1-2oz→1oz)</t>
    </r>
  </si>
  <si>
    <r>
      <rPr>
        <i/>
        <sz val="10"/>
        <color rgb="FF7F6000"/>
        <rFont val="Arial"/>
        <family val="2"/>
      </rPr>
      <t xml:space="preserve">FET </t>
    </r>
    <r>
      <rPr>
        <i/>
        <sz val="10"/>
        <color rgb="FF7F6000"/>
        <rFont val="Noto Sans CJK SC"/>
        <family val="2"/>
      </rPr>
      <t>모듈</t>
    </r>
  </si>
  <si>
    <t>보호 MOSFET (FET1/FET2, 40A 모듈)</t>
  </si>
  <si>
    <t>100V, RDS_on 2.7mΩ, TO-220</t>
  </si>
  <si>
    <t>STMicroelectronics (STP310N10F7)</t>
  </si>
  <si>
    <r>
      <rPr>
        <i/>
        <sz val="10"/>
        <color rgb="FF7F6000"/>
        <rFont val="Arial"/>
        <family val="2"/>
      </rPr>
      <t xml:space="preserve">40A </t>
    </r>
    <r>
      <rPr>
        <i/>
        <sz val="10"/>
        <color rgb="FF7F6000"/>
        <rFont val="Noto Sans CJK SC"/>
        <family val="2"/>
      </rPr>
      <t>모듈에 항상 실장</t>
    </r>
    <r>
      <rPr>
        <i/>
        <sz val="10"/>
        <color rgb="FF7F6000"/>
        <rFont val="Arial"/>
        <family val="2"/>
      </rPr>
      <t xml:space="preserve">. 40A/100A </t>
    </r>
    <r>
      <rPr>
        <i/>
        <sz val="10"/>
        <color rgb="FF7F6000"/>
        <rFont val="Noto Sans CJK SC"/>
        <family val="2"/>
      </rPr>
      <t>모듈 공용 부품</t>
    </r>
  </si>
  <si>
    <t>보호 MOSFET (FET3/FET4, 100A 모듈 전용)</t>
  </si>
  <si>
    <r>
      <rPr>
        <i/>
        <sz val="10"/>
        <color rgb="FF7F6000"/>
        <rFont val="Arial"/>
        <family val="2"/>
      </rPr>
      <t>100V, RDS_on 2.7mΩ, TO-220 (FET1/FET2</t>
    </r>
    <r>
      <rPr>
        <i/>
        <sz val="10"/>
        <color rgb="FF7F6000"/>
        <rFont val="Noto Sans CJK SC"/>
        <family val="2"/>
      </rPr>
      <t>와 동일부품</t>
    </r>
    <r>
      <rPr>
        <i/>
        <sz val="10"/>
        <color rgb="FF7F6000"/>
        <rFont val="Arial"/>
        <family val="2"/>
      </rPr>
      <t>)</t>
    </r>
  </si>
  <si>
    <t>100A DNP</t>
  </si>
  <si>
    <r>
      <rPr>
        <i/>
        <sz val="10"/>
        <color rgb="FF7F6000"/>
        <rFont val="Arial"/>
        <family val="2"/>
      </rPr>
      <t xml:space="preserve">100A </t>
    </r>
    <r>
      <rPr>
        <i/>
        <sz val="10"/>
        <color rgb="FF7F6000"/>
        <rFont val="Noto Sans CJK SC"/>
        <family val="2"/>
      </rPr>
      <t>모듈에만 추가 실장</t>
    </r>
    <r>
      <rPr>
        <i/>
        <sz val="10"/>
        <color rgb="FF7F6000"/>
        <rFont val="Arial"/>
        <family val="2"/>
      </rPr>
      <t>(</t>
    </r>
    <r>
      <rPr>
        <i/>
        <sz val="10"/>
        <color rgb="FF7F6000"/>
        <rFont val="Noto Sans CJK SC"/>
        <family val="2"/>
      </rPr>
      <t xml:space="preserve">총 </t>
    </r>
    <r>
      <rPr>
        <i/>
        <sz val="10"/>
        <color rgb="FF7F6000"/>
        <rFont val="Arial"/>
        <family val="2"/>
      </rPr>
      <t>4</t>
    </r>
    <r>
      <rPr>
        <i/>
        <sz val="10"/>
        <color rgb="FF7F6000"/>
        <rFont val="Noto Sans CJK SC"/>
        <family val="2"/>
      </rPr>
      <t>개소</t>
    </r>
    <r>
      <rPr>
        <i/>
        <sz val="10"/>
        <color rgb="FF7F6000"/>
        <rFont val="Arial"/>
        <family val="2"/>
      </rPr>
      <t xml:space="preserve">). 40A </t>
    </r>
    <r>
      <rPr>
        <i/>
        <sz val="10"/>
        <color rgb="FF7F6000"/>
        <rFont val="Noto Sans CJK SC"/>
        <family val="2"/>
      </rPr>
      <t>모듈에는 없음</t>
    </r>
  </si>
  <si>
    <t>FET 절연패드 세트(TO-220용, FET1/FET2)</t>
  </si>
  <si>
    <r>
      <rPr>
        <i/>
        <sz val="10"/>
        <color rgb="FF7F6000"/>
        <rFont val="Noto Sans CJK SC"/>
        <family val="2"/>
      </rPr>
      <t>실리콘</t>
    </r>
    <r>
      <rPr>
        <i/>
        <sz val="10"/>
        <color rgb="FF7F6000"/>
        <rFont val="Arial"/>
        <family val="2"/>
      </rPr>
      <t>/</t>
    </r>
    <r>
      <rPr>
        <i/>
        <sz val="10"/>
        <color rgb="FF7F6000"/>
        <rFont val="Noto Sans CJK SC"/>
        <family val="2"/>
      </rPr>
      <t>마이카 절연패드</t>
    </r>
    <r>
      <rPr>
        <i/>
        <sz val="10"/>
        <color rgb="FF7F6000"/>
        <rFont val="Arial"/>
        <family val="2"/>
      </rPr>
      <t>+</t>
    </r>
    <r>
      <rPr>
        <i/>
        <sz val="10"/>
        <color rgb="FF7F6000"/>
        <rFont val="Noto Sans CJK SC"/>
        <family val="2"/>
      </rPr>
      <t>부싱</t>
    </r>
  </si>
  <si>
    <r>
      <rPr>
        <i/>
        <sz val="10"/>
        <color rgb="FF7F6000"/>
        <rFont val="Arial"/>
        <family val="2"/>
      </rPr>
      <t>CATHODE</t>
    </r>
    <r>
      <rPr>
        <i/>
        <sz val="10"/>
        <color rgb="FF7F6000"/>
        <rFont val="Noto Sans CJK SC"/>
        <family val="2"/>
      </rPr>
      <t xml:space="preserve">가 </t>
    </r>
    <r>
      <rPr>
        <i/>
        <sz val="10"/>
        <color rgb="FF7F6000"/>
        <rFont val="Arial"/>
        <family val="2"/>
      </rPr>
      <t>FET</t>
    </r>
    <r>
      <rPr>
        <i/>
        <sz val="10"/>
        <color rgb="FF7F6000"/>
        <rFont val="Noto Sans CJK SC"/>
        <family val="2"/>
      </rPr>
      <t>별 개별 넷이므로 필수</t>
    </r>
    <r>
      <rPr>
        <i/>
        <sz val="10"/>
        <color rgb="FF7F6000"/>
        <rFont val="Arial"/>
        <family val="2"/>
      </rPr>
      <t>(</t>
    </r>
    <r>
      <rPr>
        <i/>
        <sz val="10"/>
        <color rgb="FF7F6000"/>
        <rFont val="Noto Sans CJK SC"/>
        <family val="2"/>
      </rPr>
      <t>방열판 비절연 접촉 금지</t>
    </r>
    <r>
      <rPr>
        <i/>
        <sz val="10"/>
        <color rgb="FF7F6000"/>
        <rFont val="Arial"/>
        <family val="2"/>
      </rPr>
      <t>, 5.4</t>
    </r>
    <r>
      <rPr>
        <i/>
        <sz val="10"/>
        <color rgb="FF7F6000"/>
        <rFont val="Noto Sans CJK SC"/>
        <family val="2"/>
      </rPr>
      <t>절 정정 반영</t>
    </r>
    <r>
      <rPr>
        <i/>
        <sz val="10"/>
        <color rgb="FF7F6000"/>
        <rFont val="Arial"/>
        <family val="2"/>
      </rPr>
      <t>)</t>
    </r>
  </si>
  <si>
    <t>FET 절연패드 세트(TO-220용, FET3/FET4)</t>
  </si>
  <si>
    <r>
      <rPr>
        <i/>
        <sz val="10"/>
        <color rgb="FF7F6000"/>
        <rFont val="Arial"/>
        <family val="2"/>
      </rPr>
      <t xml:space="preserve">100A </t>
    </r>
    <r>
      <rPr>
        <i/>
        <sz val="10"/>
        <color rgb="FF7F6000"/>
        <rFont val="Noto Sans CJK SC"/>
        <family val="2"/>
      </rPr>
      <t>모듈 전용 추가분</t>
    </r>
  </si>
  <si>
    <t>크림프 러그+전선 세트(FET1/FET2용, 개별)</t>
  </si>
  <si>
    <r>
      <rPr>
        <i/>
        <sz val="10"/>
        <color rgb="FF7F6000"/>
        <rFont val="Arial"/>
        <family val="2"/>
      </rPr>
      <t xml:space="preserve">8AWG, </t>
    </r>
    <r>
      <rPr>
        <i/>
        <sz val="10"/>
        <color rgb="FF7F6000"/>
        <rFont val="Noto Sans CJK SC"/>
        <family val="2"/>
      </rPr>
      <t>양단 압착단자</t>
    </r>
    <r>
      <rPr>
        <i/>
        <sz val="10"/>
        <color rgb="FF7F6000"/>
        <rFont val="Arial"/>
        <family val="2"/>
      </rPr>
      <t xml:space="preserve">, </t>
    </r>
    <r>
      <rPr>
        <i/>
        <sz val="10"/>
        <color rgb="FF7F6000"/>
        <rFont val="Noto Sans CJK SC"/>
        <family val="2"/>
      </rPr>
      <t xml:space="preserve">약 </t>
    </r>
    <r>
      <rPr>
        <i/>
        <sz val="10"/>
        <color rgb="FF7F6000"/>
        <rFont val="Arial"/>
        <family val="2"/>
      </rPr>
      <t>150mm</t>
    </r>
  </si>
  <si>
    <r>
      <rPr>
        <i/>
        <sz val="10"/>
        <color rgb="FF7F6000"/>
        <rFont val="Arial"/>
        <family val="2"/>
      </rPr>
      <t xml:space="preserve">CATHODE </t>
    </r>
    <r>
      <rPr>
        <i/>
        <sz val="10"/>
        <color rgb="FF7F6000"/>
        <rFont val="Noto Sans CJK SC"/>
        <family val="2"/>
      </rPr>
      <t>개별 넷 — 모듈에서 배터리 출력 커넥터까지 직결</t>
    </r>
    <r>
      <rPr>
        <i/>
        <sz val="10"/>
        <color rgb="FF7F6000"/>
        <rFont val="Arial"/>
        <family val="2"/>
      </rPr>
      <t xml:space="preserve">(Control PCB </t>
    </r>
    <r>
      <rPr>
        <i/>
        <sz val="10"/>
        <color rgb="FF7F6000"/>
        <rFont val="Noto Sans CJK SC"/>
        <family val="2"/>
      </rPr>
      <t>미경유</t>
    </r>
    <r>
      <rPr>
        <i/>
        <sz val="10"/>
        <color rgb="FF7F6000"/>
        <rFont val="Arial"/>
        <family val="2"/>
      </rPr>
      <t>, 3.4/3.5</t>
    </r>
    <r>
      <rPr>
        <i/>
        <sz val="10"/>
        <color rgb="FF7F6000"/>
        <rFont val="Noto Sans CJK SC"/>
        <family val="2"/>
      </rPr>
      <t>절</t>
    </r>
    <r>
      <rPr>
        <i/>
        <sz val="10"/>
        <color rgb="FF7F6000"/>
        <rFont val="Arial"/>
        <family val="2"/>
      </rPr>
      <t>)</t>
    </r>
  </si>
  <si>
    <t>크림프 러그+전선 세트(FET3/FET4용, 개별)</t>
  </si>
  <si>
    <r>
      <rPr>
        <i/>
        <sz val="10"/>
        <color rgb="FF7F6000"/>
        <rFont val="Arial"/>
        <family val="2"/>
      </rPr>
      <t xml:space="preserve">100A </t>
    </r>
    <r>
      <rPr>
        <i/>
        <sz val="10"/>
        <color rgb="FF7F6000"/>
        <rFont val="Noto Sans CJK SC"/>
        <family val="2"/>
      </rPr>
      <t>모듈 전용 추가</t>
    </r>
    <r>
      <rPr>
        <i/>
        <sz val="10"/>
        <color rgb="FF7F6000"/>
        <rFont val="Arial"/>
        <family val="2"/>
      </rPr>
      <t xml:space="preserve">, </t>
    </r>
    <r>
      <rPr>
        <i/>
        <sz val="10"/>
        <color rgb="FF7F6000"/>
        <rFont val="Noto Sans CJK SC"/>
        <family val="2"/>
      </rPr>
      <t>배선 길이</t>
    </r>
    <r>
      <rPr>
        <i/>
        <sz val="10"/>
        <color rgb="FF7F6000"/>
        <rFont val="Arial"/>
        <family val="2"/>
      </rPr>
      <t>/</t>
    </r>
    <r>
      <rPr>
        <i/>
        <sz val="10"/>
        <color rgb="FF7F6000"/>
        <rFont val="Noto Sans CJK SC"/>
        <family val="2"/>
      </rPr>
      <t xml:space="preserve">게이지를 </t>
    </r>
    <r>
      <rPr>
        <i/>
        <sz val="10"/>
        <color rgb="FF7F6000"/>
        <rFont val="Arial"/>
        <family val="2"/>
      </rPr>
      <t>FET1</t>
    </r>
    <r>
      <rPr>
        <i/>
        <sz val="10"/>
        <color rgb="FF7F6000"/>
        <rFont val="Noto Sans CJK SC"/>
        <family val="2"/>
      </rPr>
      <t>과 매칭 필수</t>
    </r>
    <r>
      <rPr>
        <i/>
        <sz val="10"/>
        <color rgb="FF7F6000"/>
        <rFont val="Arial"/>
        <family val="2"/>
      </rPr>
      <t>(3.5</t>
    </r>
    <r>
      <rPr>
        <i/>
        <sz val="10"/>
        <color rgb="FF7F6000"/>
        <rFont val="Noto Sans CJK SC"/>
        <family val="2"/>
      </rPr>
      <t>절</t>
    </r>
    <r>
      <rPr>
        <i/>
        <sz val="10"/>
        <color rgb="FF7F6000"/>
        <rFont val="Arial"/>
        <family val="2"/>
      </rPr>
      <t>)</t>
    </r>
  </si>
  <si>
    <t>FET 모듈 방열판 (40A용, 소형 콤형)</t>
  </si>
  <si>
    <r>
      <rPr>
        <i/>
        <sz val="10"/>
        <color rgb="FF7F6000"/>
        <rFont val="Noto Sans CJK SC"/>
        <family val="2"/>
      </rPr>
      <t xml:space="preserve">약 </t>
    </r>
    <r>
      <rPr>
        <i/>
        <sz val="10"/>
        <color rgb="FF7F6000"/>
        <rFont val="Arial"/>
        <family val="2"/>
      </rPr>
      <t>25×20×15mm, Rth(s-a)≈20°C/W</t>
    </r>
    <r>
      <rPr>
        <i/>
        <sz val="10"/>
        <color rgb="FF7F6000"/>
        <rFont val="Noto Sans CJK SC"/>
        <family val="2"/>
      </rPr>
      <t>급</t>
    </r>
    <r>
      <rPr>
        <i/>
        <sz val="10"/>
        <color rgb="FF7F6000"/>
        <rFont val="Arial"/>
        <family val="2"/>
      </rPr>
      <t xml:space="preserve">, </t>
    </r>
    <r>
      <rPr>
        <i/>
        <sz val="10"/>
        <color rgb="FF7F6000"/>
        <rFont val="Noto Sans CJK SC"/>
        <family val="2"/>
      </rPr>
      <t>범용 유통품</t>
    </r>
    <r>
      <rPr>
        <i/>
        <sz val="10"/>
        <color rgb="FF7F6000"/>
        <rFont val="Arial"/>
        <family val="2"/>
      </rPr>
      <t>, FET1/FET2 2</t>
    </r>
    <r>
      <rPr>
        <i/>
        <sz val="10"/>
        <color rgb="FF7F6000"/>
        <rFont val="Noto Sans CJK SC"/>
        <family val="2"/>
      </rPr>
      <t xml:space="preserve">개소 공용 </t>
    </r>
    <r>
      <rPr>
        <i/>
        <sz val="10"/>
        <color rgb="FF7F6000"/>
        <rFont val="Arial"/>
        <family val="2"/>
      </rPr>
      <t>1</t>
    </r>
    <r>
      <rPr>
        <i/>
        <sz val="10"/>
        <color rgb="FF7F6000"/>
        <rFont val="Noto Sans CJK SC"/>
        <family val="2"/>
      </rPr>
      <t>매</t>
    </r>
  </si>
  <si>
    <r>
      <rPr>
        <i/>
        <sz val="10"/>
        <color rgb="FF7F6000"/>
        <rFont val="Noto Sans CJK SC"/>
        <family val="2"/>
      </rPr>
      <t>예시</t>
    </r>
    <r>
      <rPr>
        <i/>
        <sz val="10"/>
        <color rgb="FF7F6000"/>
        <rFont val="Arial"/>
        <family val="2"/>
      </rPr>
      <t xml:space="preserve">: LCSC </t>
    </r>
    <r>
      <rPr>
        <i/>
        <sz val="10"/>
        <color rgb="FF7F6000"/>
        <rFont val="Noto Sans CJK SC"/>
        <family val="2"/>
      </rPr>
      <t>등 범용 유통</t>
    </r>
    <r>
      <rPr>
        <i/>
        <sz val="10"/>
        <color rgb="FF7F6000"/>
        <rFont val="Arial"/>
        <family val="2"/>
      </rPr>
      <t>(</t>
    </r>
    <r>
      <rPr>
        <i/>
        <sz val="10"/>
        <color rgb="FF7F6000"/>
        <rFont val="Noto Sans CJK SC"/>
        <family val="2"/>
      </rPr>
      <t>브랜드 비지정</t>
    </r>
    <r>
      <rPr>
        <i/>
        <sz val="10"/>
        <color rgb="FF7F6000"/>
        <rFont val="Arial"/>
        <family val="2"/>
      </rPr>
      <t>)</t>
    </r>
  </si>
  <si>
    <t>40A전용</t>
  </si>
  <si>
    <r>
      <rPr>
        <i/>
        <sz val="10"/>
        <color rgb="FF7F6000"/>
        <rFont val="Arial"/>
        <family val="2"/>
      </rPr>
      <t>FET</t>
    </r>
    <r>
      <rPr>
        <i/>
        <sz val="10"/>
        <color rgb="FF7F6000"/>
        <rFont val="Noto Sans CJK SC"/>
        <family val="2"/>
      </rPr>
      <t>별 개별 절연패드 필수</t>
    </r>
    <r>
      <rPr>
        <i/>
        <sz val="10"/>
        <color rgb="FF7F6000"/>
        <rFont val="Arial"/>
        <family val="2"/>
      </rPr>
      <t>(</t>
    </r>
    <r>
      <rPr>
        <i/>
        <sz val="10"/>
        <color rgb="FF7F6000"/>
        <rFont val="Noto Sans CJK SC"/>
        <family val="2"/>
      </rPr>
      <t>베어 접촉 금지</t>
    </r>
    <r>
      <rPr>
        <i/>
        <sz val="10"/>
        <color rgb="FF7F6000"/>
        <rFont val="Arial"/>
        <family val="2"/>
      </rPr>
      <t xml:space="preserve">), </t>
    </r>
    <r>
      <rPr>
        <i/>
        <sz val="10"/>
        <color rgb="FF7F6000"/>
        <rFont val="Noto Sans CJK SC"/>
        <family val="2"/>
      </rPr>
      <t>프레임 그라운드와 절연</t>
    </r>
    <r>
      <rPr>
        <i/>
        <sz val="10"/>
        <color rgb="FF7F6000"/>
        <rFont val="Arial"/>
        <family val="2"/>
      </rPr>
      <t>·</t>
    </r>
    <r>
      <rPr>
        <i/>
        <sz val="10"/>
        <color rgb="FF7F6000"/>
        <rFont val="Noto Sans CJK SC"/>
        <family val="2"/>
      </rPr>
      <t>이격 필수</t>
    </r>
    <r>
      <rPr>
        <i/>
        <sz val="10"/>
        <color rgb="FF7F6000"/>
        <rFont val="Arial"/>
        <family val="2"/>
      </rPr>
      <t xml:space="preserve">. </t>
    </r>
    <r>
      <rPr>
        <i/>
        <sz val="10"/>
        <color rgb="FF7F6000"/>
        <rFont val="Noto Sans CJK SC"/>
        <family val="2"/>
      </rPr>
      <t>열마진</t>
    </r>
    <r>
      <rPr>
        <i/>
        <sz val="10"/>
        <color rgb="FF7F6000"/>
        <rFont val="Arial"/>
        <family val="2"/>
      </rPr>
      <t>: 5.4</t>
    </r>
    <r>
      <rPr>
        <i/>
        <sz val="10"/>
        <color rgb="FF7F6000"/>
        <rFont val="Noto Sans CJK SC"/>
        <family val="2"/>
      </rPr>
      <t>절 참조</t>
    </r>
  </si>
  <si>
    <t>FET 모듈 방열판 (100A용, 소형 콤형)</t>
  </si>
  <si>
    <r>
      <rPr>
        <i/>
        <sz val="10"/>
        <color rgb="FF7F6000"/>
        <rFont val="Noto Sans CJK SC"/>
        <family val="2"/>
      </rPr>
      <t xml:space="preserve">약 </t>
    </r>
    <r>
      <rPr>
        <i/>
        <sz val="10"/>
        <color rgb="FF7F6000"/>
        <rFont val="Arial"/>
        <family val="2"/>
      </rPr>
      <t>50×20×15mm, Rth(s-a)≈15°C/W</t>
    </r>
    <r>
      <rPr>
        <i/>
        <sz val="10"/>
        <color rgb="FF7F6000"/>
        <rFont val="Noto Sans CJK SC"/>
        <family val="2"/>
      </rPr>
      <t>급</t>
    </r>
    <r>
      <rPr>
        <i/>
        <sz val="10"/>
        <color rgb="FF7F6000"/>
        <rFont val="Arial"/>
        <family val="2"/>
      </rPr>
      <t xml:space="preserve">, </t>
    </r>
    <r>
      <rPr>
        <i/>
        <sz val="10"/>
        <color rgb="FF7F6000"/>
        <rFont val="Noto Sans CJK SC"/>
        <family val="2"/>
      </rPr>
      <t>범용 유통품</t>
    </r>
    <r>
      <rPr>
        <i/>
        <sz val="10"/>
        <color rgb="FF7F6000"/>
        <rFont val="Arial"/>
        <family val="2"/>
      </rPr>
      <t>, FET1~FET4 4</t>
    </r>
    <r>
      <rPr>
        <i/>
        <sz val="10"/>
        <color rgb="FF7F6000"/>
        <rFont val="Noto Sans CJK SC"/>
        <family val="2"/>
      </rPr>
      <t xml:space="preserve">개소 공용 </t>
    </r>
    <r>
      <rPr>
        <i/>
        <sz val="10"/>
        <color rgb="FF7F6000"/>
        <rFont val="Arial"/>
        <family val="2"/>
      </rPr>
      <t>1</t>
    </r>
    <r>
      <rPr>
        <i/>
        <sz val="10"/>
        <color rgb="FF7F6000"/>
        <rFont val="Noto Sans CJK SC"/>
        <family val="2"/>
      </rPr>
      <t>매</t>
    </r>
  </si>
  <si>
    <t>FET 모듈 인터페이스 헤더(모듈측, 수)</t>
  </si>
  <si>
    <r>
      <rPr>
        <i/>
        <sz val="10"/>
        <color rgb="FF7F6000"/>
        <rFont val="Arial"/>
        <family val="2"/>
      </rPr>
      <t>ANODE+GATE(+</t>
    </r>
    <r>
      <rPr>
        <i/>
        <sz val="10"/>
        <color rgb="FF7F6000"/>
        <rFont val="Noto Sans CJK SC"/>
        <family val="2"/>
      </rPr>
      <t>선택적 키잉</t>
    </r>
    <r>
      <rPr>
        <i/>
        <sz val="10"/>
        <color rgb="FF7F6000"/>
        <rFont val="Arial"/>
        <family val="2"/>
      </rPr>
      <t>), Control PCB</t>
    </r>
    <r>
      <rPr>
        <i/>
        <sz val="10"/>
        <color rgb="FF7F6000"/>
        <rFont val="Noto Sans CJK SC"/>
        <family val="2"/>
      </rPr>
      <t>측 소켓과 스택 결합</t>
    </r>
  </si>
  <si>
    <t>FET 모듈 PCB - 40A (2oz 동박)</t>
  </si>
  <si>
    <r>
      <rPr>
        <i/>
        <sz val="10"/>
        <color rgb="FF7F6000"/>
        <rFont val="Arial"/>
        <family val="2"/>
      </rPr>
      <t>2</t>
    </r>
    <r>
      <rPr>
        <i/>
        <sz val="10"/>
        <color rgb="FF7F6000"/>
        <rFont val="Noto Sans CJK SC"/>
        <family val="2"/>
      </rPr>
      <t>층</t>
    </r>
    <r>
      <rPr>
        <i/>
        <sz val="10"/>
        <color rgb="FF7F6000"/>
        <rFont val="Arial"/>
        <family val="2"/>
      </rPr>
      <t xml:space="preserve">, 2oz </t>
    </r>
    <r>
      <rPr>
        <i/>
        <sz val="10"/>
        <color rgb="FF7F6000"/>
        <rFont val="Noto Sans CJK SC"/>
        <family val="2"/>
      </rPr>
      <t>동박</t>
    </r>
    <r>
      <rPr>
        <i/>
        <sz val="10"/>
        <color rgb="FF7F6000"/>
        <rFont val="Arial"/>
        <family val="2"/>
      </rPr>
      <t xml:space="preserve">, </t>
    </r>
    <r>
      <rPr>
        <i/>
        <sz val="10"/>
        <color rgb="FF7F6000"/>
        <rFont val="Noto Sans CJK SC"/>
        <family val="2"/>
      </rPr>
      <t xml:space="preserve">약 </t>
    </r>
    <r>
      <rPr>
        <i/>
        <sz val="10"/>
        <color rgb="FF7F6000"/>
        <rFont val="Arial"/>
        <family val="2"/>
      </rPr>
      <t xml:space="preserve">35×30mm, FET1/FET2 </t>
    </r>
    <r>
      <rPr>
        <i/>
        <sz val="10"/>
        <color rgb="FF7F6000"/>
        <rFont val="Noto Sans CJK SC"/>
        <family val="2"/>
      </rPr>
      <t>실장</t>
    </r>
  </si>
  <si>
    <r>
      <rPr>
        <i/>
        <sz val="10"/>
        <color rgb="FF7F6000"/>
        <rFont val="Arial"/>
        <family val="2"/>
      </rPr>
      <t>Control PCB</t>
    </r>
    <r>
      <rPr>
        <i/>
        <sz val="10"/>
        <color rgb="FF7F6000"/>
        <rFont val="Noto Sans CJK SC"/>
        <family val="2"/>
      </rPr>
      <t>와 완전 분리된 별도 원판</t>
    </r>
    <r>
      <rPr>
        <i/>
        <sz val="10"/>
        <color rgb="FF7F6000"/>
        <rFont val="Arial"/>
        <family val="2"/>
      </rPr>
      <t xml:space="preserve">. </t>
    </r>
    <r>
      <rPr>
        <i/>
        <sz val="10"/>
        <color rgb="FF7F6000"/>
        <rFont val="Noto Sans CJK SC"/>
        <family val="2"/>
      </rPr>
      <t xml:space="preserve">트레이스 폭 </t>
    </r>
    <r>
      <rPr>
        <i/>
        <sz val="10"/>
        <color rgb="FF7F6000"/>
        <rFont val="Arial"/>
        <family val="2"/>
      </rPr>
      <t>7.4mm/</t>
    </r>
    <r>
      <rPr>
        <i/>
        <sz val="10"/>
        <color rgb="FF7F6000"/>
        <rFont val="Noto Sans CJK SC"/>
        <family val="2"/>
      </rPr>
      <t>위치</t>
    </r>
    <r>
      <rPr>
        <i/>
        <sz val="10"/>
        <color rgb="FF7F6000"/>
        <rFont val="Arial"/>
        <family val="2"/>
      </rPr>
      <t>(+20%</t>
    </r>
    <r>
      <rPr>
        <i/>
        <sz val="10"/>
        <color rgb="FF7F6000"/>
        <rFont val="Noto Sans CJK SC"/>
        <family val="2"/>
      </rPr>
      <t>마진</t>
    </r>
    <r>
      <rPr>
        <i/>
        <sz val="10"/>
        <color rgb="FF7F6000"/>
        <rFont val="Arial"/>
        <family val="2"/>
      </rPr>
      <t>, 3.3</t>
    </r>
    <r>
      <rPr>
        <i/>
        <sz val="10"/>
        <color rgb="FF7F6000"/>
        <rFont val="Noto Sans CJK SC"/>
        <family val="2"/>
      </rPr>
      <t>절</t>
    </r>
    <r>
      <rPr>
        <i/>
        <sz val="10"/>
        <color rgb="FF7F6000"/>
        <rFont val="Arial"/>
        <family val="2"/>
      </rPr>
      <t>)</t>
    </r>
  </si>
  <si>
    <t>FET 모듈 PCB - 100A (2oz 동박)</t>
  </si>
  <si>
    <r>
      <rPr>
        <i/>
        <sz val="10"/>
        <color rgb="FF7F6000"/>
        <rFont val="Arial"/>
        <family val="2"/>
      </rPr>
      <t>2</t>
    </r>
    <r>
      <rPr>
        <i/>
        <sz val="10"/>
        <color rgb="FF7F6000"/>
        <rFont val="Noto Sans CJK SC"/>
        <family val="2"/>
      </rPr>
      <t>층</t>
    </r>
    <r>
      <rPr>
        <i/>
        <sz val="10"/>
        <color rgb="FF7F6000"/>
        <rFont val="Arial"/>
        <family val="2"/>
      </rPr>
      <t xml:space="preserve">, 2oz </t>
    </r>
    <r>
      <rPr>
        <i/>
        <sz val="10"/>
        <color rgb="FF7F6000"/>
        <rFont val="Noto Sans CJK SC"/>
        <family val="2"/>
      </rPr>
      <t>동박</t>
    </r>
    <r>
      <rPr>
        <i/>
        <sz val="10"/>
        <color rgb="FF7F6000"/>
        <rFont val="Arial"/>
        <family val="2"/>
      </rPr>
      <t xml:space="preserve">, </t>
    </r>
    <r>
      <rPr>
        <i/>
        <sz val="10"/>
        <color rgb="FF7F6000"/>
        <rFont val="Noto Sans CJK SC"/>
        <family val="2"/>
      </rPr>
      <t xml:space="preserve">약 </t>
    </r>
    <r>
      <rPr>
        <i/>
        <sz val="10"/>
        <color rgb="FF7F6000"/>
        <rFont val="Arial"/>
        <family val="2"/>
      </rPr>
      <t xml:space="preserve">70×30mm, FET1~FET4 </t>
    </r>
    <r>
      <rPr>
        <i/>
        <sz val="10"/>
        <color rgb="FF7F6000"/>
        <rFont val="Noto Sans CJK SC"/>
        <family val="2"/>
      </rPr>
      <t>실장</t>
    </r>
  </si>
  <si>
    <r>
      <rPr>
        <i/>
        <sz val="10"/>
        <color rgb="FF7F6000"/>
        <rFont val="Arial"/>
        <family val="2"/>
      </rPr>
      <t>Control PCB</t>
    </r>
    <r>
      <rPr>
        <i/>
        <sz val="10"/>
        <color rgb="FF7F6000"/>
        <rFont val="Noto Sans CJK SC"/>
        <family val="2"/>
      </rPr>
      <t>와 완전 분리된 별도 원판</t>
    </r>
    <r>
      <rPr>
        <i/>
        <sz val="10"/>
        <color rgb="FF7F6000"/>
        <rFont val="Arial"/>
        <family val="2"/>
      </rPr>
      <t xml:space="preserve">, 40A </t>
    </r>
    <r>
      <rPr>
        <i/>
        <sz val="10"/>
        <color rgb="FF7F6000"/>
        <rFont val="Noto Sans CJK SC"/>
        <family val="2"/>
      </rPr>
      <t>모듈과 상호 배타적 옵션</t>
    </r>
    <r>
      <rPr>
        <i/>
        <sz val="10"/>
        <color rgb="FF7F6000"/>
        <rFont val="Arial"/>
        <family val="2"/>
      </rPr>
      <t xml:space="preserve">. </t>
    </r>
    <r>
      <rPr>
        <i/>
        <sz val="10"/>
        <color rgb="FF7F6000"/>
        <rFont val="Noto Sans CJK SC"/>
        <family val="2"/>
      </rPr>
      <t xml:space="preserve">트레이스 폭 </t>
    </r>
    <r>
      <rPr>
        <i/>
        <sz val="10"/>
        <color rgb="FF7F6000"/>
        <rFont val="Arial"/>
        <family val="2"/>
      </rPr>
      <t>10.0mm/</t>
    </r>
    <r>
      <rPr>
        <i/>
        <sz val="10"/>
        <color rgb="FF7F6000"/>
        <rFont val="Noto Sans CJK SC"/>
        <family val="2"/>
      </rPr>
      <t>위치</t>
    </r>
    <r>
      <rPr>
        <i/>
        <sz val="10"/>
        <color rgb="FF7F6000"/>
        <rFont val="Arial"/>
        <family val="2"/>
      </rPr>
      <t>(+20%</t>
    </r>
    <r>
      <rPr>
        <i/>
        <sz val="10"/>
        <color rgb="FF7F6000"/>
        <rFont val="Noto Sans CJK SC"/>
        <family val="2"/>
      </rPr>
      <t>마진</t>
    </r>
    <r>
      <rPr>
        <i/>
        <sz val="10"/>
        <color rgb="FF7F6000"/>
        <rFont val="Arial"/>
        <family val="2"/>
      </rPr>
      <t>, 3.3</t>
    </r>
    <r>
      <rPr>
        <i/>
        <sz val="10"/>
        <color rgb="FF7F6000"/>
        <rFont val="Noto Sans CJK SC"/>
        <family val="2"/>
      </rPr>
      <t>절</t>
    </r>
    <r>
      <rPr>
        <i/>
        <sz val="10"/>
        <color rgb="FF7F6000"/>
        <rFont val="Arial"/>
        <family val="2"/>
      </rPr>
      <t>)</t>
    </r>
  </si>
  <si>
    <t>Sub PCB</t>
  </si>
  <si>
    <t>표시부</t>
  </si>
  <si>
    <t>택트 버튼(SW1)</t>
  </si>
  <si>
    <r>
      <rPr>
        <i/>
        <sz val="10"/>
        <color rgb="FF7F6000"/>
        <rFont val="Arial"/>
        <family val="2"/>
      </rPr>
      <t xml:space="preserve">6x6mm </t>
    </r>
    <r>
      <rPr>
        <i/>
        <sz val="10"/>
        <color rgb="FF7F6000"/>
        <rFont val="Noto Sans CJK SC"/>
        <family val="2"/>
      </rPr>
      <t>표면형</t>
    </r>
  </si>
  <si>
    <r>
      <rPr>
        <i/>
        <sz val="10"/>
        <color rgb="FF7F6000"/>
        <rFont val="Noto Sans CJK SC"/>
        <family val="2"/>
      </rPr>
      <t>내부 풀업 사용</t>
    </r>
    <r>
      <rPr>
        <i/>
        <sz val="10"/>
        <color rgb="FF7F6000"/>
        <rFont val="Arial"/>
        <family val="2"/>
      </rPr>
      <t xml:space="preserve">, </t>
    </r>
    <r>
      <rPr>
        <i/>
        <sz val="10"/>
        <color rgb="FF7F6000"/>
        <rFont val="Noto Sans CJK SC"/>
        <family val="2"/>
      </rPr>
      <t>외부 저항 불필요</t>
    </r>
  </si>
  <si>
    <t>상태 LED</t>
  </si>
  <si>
    <r>
      <rPr>
        <i/>
        <sz val="10"/>
        <color rgb="FF7F6000"/>
        <rFont val="Arial"/>
        <family val="2"/>
      </rPr>
      <t xml:space="preserve">5mm </t>
    </r>
    <r>
      <rPr>
        <i/>
        <sz val="10"/>
        <color rgb="FF7F6000"/>
        <rFont val="Noto Sans CJK SC"/>
        <family val="2"/>
      </rPr>
      <t xml:space="preserve">또는 </t>
    </r>
    <r>
      <rPr>
        <i/>
        <sz val="10"/>
        <color rgb="FF7F6000"/>
        <rFont val="Arial"/>
        <family val="2"/>
      </rPr>
      <t xml:space="preserve">SMD, </t>
    </r>
    <r>
      <rPr>
        <i/>
        <sz val="10"/>
        <color rgb="FF7F6000"/>
        <rFont val="Noto Sans CJK SC"/>
        <family val="2"/>
      </rPr>
      <t>저전력</t>
    </r>
  </si>
  <si>
    <r>
      <rPr>
        <i/>
        <sz val="10"/>
        <color rgb="FF7F6000"/>
        <rFont val="Arial"/>
        <family val="2"/>
      </rPr>
      <t xml:space="preserve">LED1 </t>
    </r>
    <r>
      <rPr>
        <i/>
        <sz val="10"/>
        <color rgb="FF7F6000"/>
        <rFont val="Noto Sans CJK SC"/>
        <family val="2"/>
      </rPr>
      <t>상태표시</t>
    </r>
    <r>
      <rPr>
        <i/>
        <sz val="10"/>
        <color rgb="FF7F6000"/>
        <rFont val="Arial"/>
        <family val="2"/>
      </rPr>
      <t xml:space="preserve">, LED2 </t>
    </r>
    <r>
      <rPr>
        <i/>
        <sz val="10"/>
        <color rgb="FF7F6000"/>
        <rFont val="Noto Sans CJK SC"/>
        <family val="2"/>
      </rPr>
      <t>충전중</t>
    </r>
  </si>
  <si>
    <t>LED 전류제한저항(R3,R4)</t>
  </si>
  <si>
    <t>330Ω, 1/4W</t>
  </si>
  <si>
    <t>FND (3자리 7-세그먼트)</t>
  </si>
  <si>
    <r>
      <rPr>
        <i/>
        <sz val="10"/>
        <color rgb="FF7F6000"/>
        <rFont val="Arial"/>
        <family val="2"/>
      </rPr>
      <t xml:space="preserve">0.56", </t>
    </r>
    <r>
      <rPr>
        <i/>
        <sz val="10"/>
        <color rgb="FF7F6000"/>
        <rFont val="Noto Sans CJK SC"/>
        <family val="2"/>
      </rPr>
      <t>공통캐소드</t>
    </r>
  </si>
  <si>
    <t>예시 규격</t>
  </si>
  <si>
    <r>
      <rPr>
        <i/>
        <sz val="10"/>
        <color rgb="FF7F6000"/>
        <rFont val="Arial"/>
        <family val="2"/>
      </rPr>
      <t>Control PCB MCU</t>
    </r>
    <r>
      <rPr>
        <i/>
        <sz val="10"/>
        <color rgb="FF7F6000"/>
        <rFont val="Noto Sans CJK SC"/>
        <family val="2"/>
      </rPr>
      <t>가 헤더 통해 멀티플렉스 구동</t>
    </r>
  </si>
  <si>
    <t>Sub PCB 인터페이스 헤더(Sub PCB측)</t>
  </si>
  <si>
    <r>
      <rPr>
        <i/>
        <sz val="10"/>
        <color rgb="FF7F6000"/>
        <rFont val="Arial"/>
        <family val="2"/>
      </rPr>
      <t>Control PCB</t>
    </r>
    <r>
      <rPr>
        <i/>
        <sz val="10"/>
        <color rgb="FF7F6000"/>
        <rFont val="Noto Sans CJK SC"/>
        <family val="2"/>
      </rPr>
      <t>측 헤더와 리본</t>
    </r>
    <r>
      <rPr>
        <i/>
        <sz val="10"/>
        <color rgb="FF7F6000"/>
        <rFont val="Arial"/>
        <family val="2"/>
      </rPr>
      <t>/</t>
    </r>
    <r>
      <rPr>
        <i/>
        <sz val="10"/>
        <color rgb="FF7F6000"/>
        <rFont val="Noto Sans CJK SC"/>
        <family val="2"/>
      </rPr>
      <t>직결</t>
    </r>
  </si>
  <si>
    <t>Sub PCB 원판</t>
  </si>
  <si>
    <r>
      <rPr>
        <i/>
        <sz val="10"/>
        <color rgb="FF7F6000"/>
        <rFont val="Arial"/>
        <family val="2"/>
      </rPr>
      <t>2</t>
    </r>
    <r>
      <rPr>
        <i/>
        <sz val="10"/>
        <color rgb="FF7F6000"/>
        <rFont val="Noto Sans CJK SC"/>
        <family val="2"/>
      </rPr>
      <t>층</t>
    </r>
    <r>
      <rPr>
        <i/>
        <sz val="10"/>
        <color rgb="FF7F6000"/>
        <rFont val="Arial"/>
        <family val="2"/>
      </rPr>
      <t xml:space="preserve">, 1oz </t>
    </r>
    <r>
      <rPr>
        <i/>
        <sz val="10"/>
        <color rgb="FF7F6000"/>
        <rFont val="Noto Sans CJK SC"/>
        <family val="2"/>
      </rPr>
      <t>동박</t>
    </r>
    <r>
      <rPr>
        <i/>
        <sz val="10"/>
        <color rgb="FF7F6000"/>
        <rFont val="Arial"/>
        <family val="2"/>
      </rPr>
      <t xml:space="preserve">, </t>
    </r>
    <r>
      <rPr>
        <i/>
        <sz val="10"/>
        <color rgb="FF7F6000"/>
        <rFont val="Noto Sans CJK SC"/>
        <family val="2"/>
      </rPr>
      <t>소형</t>
    </r>
    <r>
      <rPr>
        <i/>
        <sz val="10"/>
        <color rgb="FF7F6000"/>
        <rFont val="Arial"/>
        <family val="2"/>
      </rPr>
      <t>(</t>
    </r>
    <r>
      <rPr>
        <i/>
        <sz val="10"/>
        <color rgb="FF7F6000"/>
        <rFont val="Noto Sans CJK SC"/>
        <family val="2"/>
      </rPr>
      <t>케이스 전면 크기에 맞춤</t>
    </r>
    <r>
      <rPr>
        <i/>
        <sz val="10"/>
        <color rgb="FF7F6000"/>
        <rFont val="Arial"/>
        <family val="2"/>
      </rPr>
      <t>)</t>
    </r>
  </si>
  <si>
    <t>견적 필요</t>
  </si>
  <si>
    <r>
      <rPr>
        <sz val="10"/>
        <rFont val="Arial"/>
        <family val="2"/>
      </rPr>
      <t xml:space="preserve">40A </t>
    </r>
    <r>
      <rPr>
        <sz val="10"/>
        <rFont val="Noto Sans CJK SC"/>
        <family val="2"/>
      </rPr>
      <t xml:space="preserve">구성 부품단가 합계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공통 </t>
    </r>
    <r>
      <rPr>
        <sz val="10"/>
        <rFont val="Arial"/>
        <family val="2"/>
      </rPr>
      <t>+ 40A</t>
    </r>
    <r>
      <rPr>
        <sz val="10"/>
        <rFont val="Noto Sans CJK SC"/>
        <family val="2"/>
      </rPr>
      <t>전용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</si>
  <si>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100A </t>
    </r>
    <r>
      <rPr>
        <sz val="10"/>
        <rFont val="Noto Sans CJK SC"/>
        <family val="2"/>
      </rPr>
      <t xml:space="preserve">구성 부품단가 합계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공통 </t>
    </r>
    <r>
      <rPr>
        <sz val="10"/>
        <rFont val="Arial"/>
        <family val="2"/>
      </rPr>
      <t>+ 100A DNP)</t>
    </r>
  </si>
  <si>
    <t>주1: 단가는 LCSC/Digikey/Mouser 등 공개 유통가 또는 유사부품 참고 추정치이며, 실제 조달가는 물량/벤더 견적에 따라 달라질 수 있음. 외부 SMPS, 인클로저, 케이블/하네스(위 크림프 세트 제외), 조립비는 본 BOM에서 제외. 배터리 출력 커넥터(패널마운트)는 고객 별도 조달 품목으로 본 BOM에서 제외.</t>
  </si>
  <si>
    <t>주2: v8부터 보호 FET 및 방열판을 Control PCB에서 분리해 별도의 FET 애드인 모듈(40A/100A, 2oz 동박)로 구성한다. ANODE/CATHODE 정정(ANODE=SMPS측 공통넷, CATHODE=배터리측 개별넷)에 따라 FET 탭이 개별 넷임이 확인되어, v7까지의 방열판 베어 접촉 방식을 철회하고 FET별 개별 절연패드를 필수 적용했다(단가 반영). 40A 모듈(FET1/2, 약 35×30mm)과 100A 모듈(FET1~4, 약 70×30mm)은 Control PCB(약 75×90mm, 완전 공용, 1oz 동박)에 핀헤더로 스택 실장되며 상호 배타적 옵션이다. 상세 근거는 T600_아트웍_사양서 Rev.12 참조.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</si>
</sst>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17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4"/>
      <name val="Noto Sans CJK SC"/>
      <family val="2"/>
    </font>
    <font>
      <i/>
      <sz val="9"/>
      <color rgb="FF555555"/>
      <name val="Arial"/>
      <family val="2"/>
    </font>
    <font>
      <i/>
      <sz val="9"/>
      <color rgb="FF555555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  <charset val="1"/>
    </font>
    <font>
      <b/>
      <sz val="10"/>
      <color rgb="FFFFFFFF"/>
      <name val="Noto Sans CJK SC"/>
      <family val="2"/>
    </font>
    <font>
      <i/>
      <sz val="10"/>
      <color rgb="FF7F6000"/>
      <name val="Arial"/>
      <family val="2"/>
    </font>
    <font>
      <i/>
      <sz val="10"/>
      <color rgb="FF7F6000"/>
      <name val="Noto Sans CJK SC"/>
      <family val="2"/>
      <charset val="1"/>
    </font>
    <font>
      <i/>
      <sz val="10"/>
      <color rgb="FF7F6000"/>
      <name val="Noto Sans CJK SC"/>
      <family val="2"/>
    </font>
    <font>
      <sz val="11"/>
      <color theme="1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b/>
      <sz val="10"/>
      <name val="Noto Sans CJK SC"/>
      <family val="2"/>
      <charset val="1"/>
    </font>
    <font>
      <b/>
      <sz val="14"/>
      <name val="Arial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F2F2F2"/>
        <bgColor rgb="FFFFFFFF"/>
      </patternFill>
    </fill>
    <fill>
      <patternFill patternType="solid">
        <fgColor rgb="FFFCE8B2"/>
        <bgColor rgb="FFFFCC99"/>
      </patternFill>
    </fill>
    <fill>
      <patternFill patternType="solid">
        <fgColor rgb="FFD9E2F3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4" fillId="5" borderId="1" xfId="0" applyFont="1" applyFill="1" applyBorder="1"/>
    <xf numFmtId="0" fontId="12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176" fontId="8" fillId="3" borderId="1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1" fillId="0" borderId="0" xfId="0" applyFont="1"/>
    <xf numFmtId="176" fontId="12" fillId="4" borderId="1" xfId="0" applyNumberFormat="1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Normal="100" workbookViewId="0">
      <pane ySplit="4" topLeftCell="A5" activePane="bottomLeft" state="frozen"/>
      <selection pane="bottomLeft" sqref="A1:K1"/>
    </sheetView>
  </sheetViews>
  <sheetFormatPr defaultColWidth="8.7109375" defaultRowHeight="15"/>
  <cols>
    <col min="1" max="1" width="5" customWidth="1"/>
    <col min="2" max="2" width="12" customWidth="1"/>
    <col min="3" max="3" width="14" customWidth="1"/>
    <col min="4" max="4" width="26" customWidth="1"/>
    <col min="5" max="5" width="34" customWidth="1"/>
    <col min="6" max="6" width="20" customWidth="1"/>
    <col min="7" max="7" width="11" customWidth="1"/>
    <col min="8" max="8" width="7" customWidth="1"/>
    <col min="9" max="10" width="10" customWidth="1"/>
    <col min="11" max="11" width="32" customWidth="1"/>
  </cols>
  <sheetData>
    <row r="1" spans="1:11" ht="2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4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15" customHeight="1">
      <c r="A4" s="5" t="s">
        <v>2</v>
      </c>
      <c r="B4" s="6" t="s">
        <v>3</v>
      </c>
      <c r="C4" s="6" t="s">
        <v>4</v>
      </c>
      <c r="D4" s="6" t="s">
        <v>5</v>
      </c>
      <c r="E4" s="5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</row>
    <row r="5" spans="1:11" ht="15" customHeight="1">
      <c r="A5" s="7">
        <v>1</v>
      </c>
      <c r="B5" s="7" t="s">
        <v>13</v>
      </c>
      <c r="C5" s="8" t="s">
        <v>14</v>
      </c>
      <c r="D5" s="8" t="s">
        <v>15</v>
      </c>
      <c r="E5" s="9" t="s">
        <v>16</v>
      </c>
      <c r="F5" s="7" t="s">
        <v>17</v>
      </c>
      <c r="G5" s="8" t="s">
        <v>18</v>
      </c>
      <c r="H5" s="7">
        <v>1</v>
      </c>
      <c r="I5" s="10">
        <v>1.5</v>
      </c>
      <c r="J5" s="10">
        <f t="shared" ref="J5:J40" si="0">H5*I5</f>
        <v>1.5</v>
      </c>
      <c r="K5" s="9" t="s">
        <v>19</v>
      </c>
    </row>
    <row r="6" spans="1:11" ht="15" customHeight="1">
      <c r="A6" s="7">
        <v>2</v>
      </c>
      <c r="B6" s="7" t="s">
        <v>13</v>
      </c>
      <c r="C6" s="8" t="s">
        <v>14</v>
      </c>
      <c r="D6" s="8" t="s">
        <v>20</v>
      </c>
      <c r="E6" s="9" t="s">
        <v>21</v>
      </c>
      <c r="F6" s="7" t="s">
        <v>22</v>
      </c>
      <c r="G6" s="8" t="s">
        <v>18</v>
      </c>
      <c r="H6" s="7">
        <v>1</v>
      </c>
      <c r="I6" s="10">
        <v>0.47</v>
      </c>
      <c r="J6" s="10">
        <f t="shared" si="0"/>
        <v>0.47</v>
      </c>
      <c r="K6" s="9" t="s">
        <v>23</v>
      </c>
    </row>
    <row r="7" spans="1:11" ht="15" customHeight="1">
      <c r="A7" s="7">
        <v>3</v>
      </c>
      <c r="B7" s="7" t="s">
        <v>13</v>
      </c>
      <c r="C7" s="8" t="s">
        <v>14</v>
      </c>
      <c r="D7" s="8" t="s">
        <v>24</v>
      </c>
      <c r="E7" s="9" t="s">
        <v>25</v>
      </c>
      <c r="F7" s="7" t="s">
        <v>26</v>
      </c>
      <c r="G7" s="8" t="s">
        <v>18</v>
      </c>
      <c r="H7" s="7">
        <v>1</v>
      </c>
      <c r="I7" s="10">
        <v>0.02</v>
      </c>
      <c r="J7" s="10">
        <f t="shared" si="0"/>
        <v>0.02</v>
      </c>
      <c r="K7" s="9" t="s">
        <v>27</v>
      </c>
    </row>
    <row r="8" spans="1:11" ht="29.25" customHeight="1">
      <c r="A8" s="7">
        <v>4</v>
      </c>
      <c r="B8" s="7" t="s">
        <v>13</v>
      </c>
      <c r="C8" s="8" t="s">
        <v>14</v>
      </c>
      <c r="D8" s="8" t="s">
        <v>28</v>
      </c>
      <c r="E8" s="9" t="s">
        <v>29</v>
      </c>
      <c r="F8" s="7" t="s">
        <v>26</v>
      </c>
      <c r="G8" s="8" t="s">
        <v>18</v>
      </c>
      <c r="H8" s="7">
        <v>1</v>
      </c>
      <c r="I8" s="10">
        <v>0.02</v>
      </c>
      <c r="J8" s="10">
        <f t="shared" si="0"/>
        <v>0.02</v>
      </c>
      <c r="K8" s="9" t="s">
        <v>30</v>
      </c>
    </row>
    <row r="9" spans="1:11" ht="15" customHeight="1">
      <c r="A9" s="7">
        <v>5</v>
      </c>
      <c r="B9" s="7" t="s">
        <v>13</v>
      </c>
      <c r="C9" s="8" t="s">
        <v>14</v>
      </c>
      <c r="D9" s="8" t="s">
        <v>31</v>
      </c>
      <c r="E9" s="9" t="s">
        <v>32</v>
      </c>
      <c r="F9" s="11" t="s">
        <v>33</v>
      </c>
      <c r="G9" s="8" t="s">
        <v>18</v>
      </c>
      <c r="H9" s="7">
        <v>1</v>
      </c>
      <c r="I9" s="10">
        <v>0.8</v>
      </c>
      <c r="J9" s="10">
        <f t="shared" si="0"/>
        <v>0.8</v>
      </c>
      <c r="K9" s="12" t="s">
        <v>34</v>
      </c>
    </row>
    <row r="10" spans="1:11" ht="15" customHeight="1">
      <c r="A10" s="7">
        <v>6</v>
      </c>
      <c r="B10" s="7" t="s">
        <v>13</v>
      </c>
      <c r="C10" s="8" t="s">
        <v>14</v>
      </c>
      <c r="D10" s="8" t="s">
        <v>35</v>
      </c>
      <c r="E10" s="9" t="s">
        <v>36</v>
      </c>
      <c r="F10" s="7" t="s">
        <v>26</v>
      </c>
      <c r="G10" s="8" t="s">
        <v>18</v>
      </c>
      <c r="H10" s="7">
        <v>1</v>
      </c>
      <c r="I10" s="10">
        <v>0.05</v>
      </c>
      <c r="J10" s="10">
        <f t="shared" si="0"/>
        <v>0.05</v>
      </c>
      <c r="K10" s="9" t="s">
        <v>37</v>
      </c>
    </row>
    <row r="11" spans="1:11" ht="15" customHeight="1">
      <c r="A11" s="7">
        <v>7</v>
      </c>
      <c r="B11" s="7" t="s">
        <v>13</v>
      </c>
      <c r="C11" s="8" t="s">
        <v>38</v>
      </c>
      <c r="D11" s="8" t="s">
        <v>39</v>
      </c>
      <c r="E11" s="9" t="s">
        <v>40</v>
      </c>
      <c r="F11" s="7" t="s">
        <v>41</v>
      </c>
      <c r="G11" s="8" t="s">
        <v>18</v>
      </c>
      <c r="H11" s="7">
        <v>1</v>
      </c>
      <c r="I11" s="10">
        <v>1.61</v>
      </c>
      <c r="J11" s="10">
        <f t="shared" si="0"/>
        <v>1.61</v>
      </c>
      <c r="K11" s="12" t="s">
        <v>42</v>
      </c>
    </row>
    <row r="12" spans="1:11" ht="29.25" customHeight="1">
      <c r="A12" s="7">
        <v>8</v>
      </c>
      <c r="B12" s="7" t="s">
        <v>13</v>
      </c>
      <c r="C12" s="8" t="s">
        <v>38</v>
      </c>
      <c r="D12" s="8" t="s">
        <v>43</v>
      </c>
      <c r="E12" s="9" t="s">
        <v>44</v>
      </c>
      <c r="F12" s="11" t="s">
        <v>45</v>
      </c>
      <c r="G12" s="8" t="s">
        <v>18</v>
      </c>
      <c r="H12" s="7">
        <v>1</v>
      </c>
      <c r="I12" s="10">
        <v>0.05</v>
      </c>
      <c r="J12" s="10">
        <f t="shared" si="0"/>
        <v>0.05</v>
      </c>
      <c r="K12" s="9" t="s">
        <v>46</v>
      </c>
    </row>
    <row r="13" spans="1:11" ht="29.25" customHeight="1">
      <c r="A13" s="7">
        <v>9</v>
      </c>
      <c r="B13" s="7" t="s">
        <v>13</v>
      </c>
      <c r="C13" s="8" t="s">
        <v>38</v>
      </c>
      <c r="D13" s="8" t="s">
        <v>47</v>
      </c>
      <c r="E13" s="9" t="s">
        <v>48</v>
      </c>
      <c r="F13" s="7" t="s">
        <v>26</v>
      </c>
      <c r="G13" s="8" t="s">
        <v>18</v>
      </c>
      <c r="H13" s="7">
        <v>2</v>
      </c>
      <c r="I13" s="10">
        <v>0.02</v>
      </c>
      <c r="J13" s="10">
        <f t="shared" si="0"/>
        <v>0.04</v>
      </c>
      <c r="K13" s="9" t="s">
        <v>49</v>
      </c>
    </row>
    <row r="14" spans="1:11" ht="29.25" customHeight="1">
      <c r="A14" s="7">
        <v>10</v>
      </c>
      <c r="B14" s="7" t="s">
        <v>13</v>
      </c>
      <c r="C14" s="8" t="s">
        <v>50</v>
      </c>
      <c r="D14" s="8" t="s">
        <v>51</v>
      </c>
      <c r="E14" s="9" t="s">
        <v>52</v>
      </c>
      <c r="F14" s="7" t="s">
        <v>53</v>
      </c>
      <c r="G14" s="8" t="s">
        <v>18</v>
      </c>
      <c r="H14" s="7">
        <v>1</v>
      </c>
      <c r="I14" s="10">
        <v>0.35</v>
      </c>
      <c r="J14" s="10">
        <f t="shared" si="0"/>
        <v>0.35</v>
      </c>
      <c r="K14" s="9" t="s">
        <v>54</v>
      </c>
    </row>
    <row r="15" spans="1:11" ht="15" customHeight="1">
      <c r="A15" s="7">
        <v>11</v>
      </c>
      <c r="B15" s="7" t="s">
        <v>13</v>
      </c>
      <c r="C15" s="8" t="s">
        <v>55</v>
      </c>
      <c r="D15" s="8" t="s">
        <v>56</v>
      </c>
      <c r="E15" s="9" t="s">
        <v>57</v>
      </c>
      <c r="F15" s="11" t="s">
        <v>58</v>
      </c>
      <c r="G15" s="8" t="s">
        <v>18</v>
      </c>
      <c r="H15" s="7">
        <v>1</v>
      </c>
      <c r="I15" s="10">
        <v>0.05</v>
      </c>
      <c r="J15" s="10">
        <f t="shared" si="0"/>
        <v>0.05</v>
      </c>
      <c r="K15" s="9" t="s">
        <v>59</v>
      </c>
    </row>
    <row r="16" spans="1:11" ht="29.25" customHeight="1">
      <c r="A16" s="7">
        <v>12</v>
      </c>
      <c r="B16" s="7" t="s">
        <v>13</v>
      </c>
      <c r="C16" s="8" t="s">
        <v>55</v>
      </c>
      <c r="D16" s="8" t="s">
        <v>60</v>
      </c>
      <c r="E16" s="9" t="s">
        <v>61</v>
      </c>
      <c r="F16" s="7" t="s">
        <v>26</v>
      </c>
      <c r="G16" s="8" t="s">
        <v>18</v>
      </c>
      <c r="H16" s="7">
        <v>1</v>
      </c>
      <c r="I16" s="10">
        <v>0.01</v>
      </c>
      <c r="J16" s="10">
        <f t="shared" si="0"/>
        <v>0.01</v>
      </c>
      <c r="K16" s="9" t="s">
        <v>26</v>
      </c>
    </row>
    <row r="17" spans="1:11" ht="15" customHeight="1">
      <c r="A17" s="7">
        <v>13</v>
      </c>
      <c r="B17" s="7" t="s">
        <v>13</v>
      </c>
      <c r="C17" s="8" t="s">
        <v>55</v>
      </c>
      <c r="D17" s="8" t="s">
        <v>62</v>
      </c>
      <c r="E17" s="9" t="s">
        <v>63</v>
      </c>
      <c r="F17" s="7" t="s">
        <v>26</v>
      </c>
      <c r="G17" s="8" t="s">
        <v>18</v>
      </c>
      <c r="H17" s="7">
        <v>1</v>
      </c>
      <c r="I17" s="10">
        <v>0.02</v>
      </c>
      <c r="J17" s="10">
        <f t="shared" si="0"/>
        <v>0.02</v>
      </c>
      <c r="K17" s="12" t="s">
        <v>64</v>
      </c>
    </row>
    <row r="18" spans="1:11" ht="15" customHeight="1">
      <c r="A18" s="7">
        <v>14</v>
      </c>
      <c r="B18" s="7" t="s">
        <v>13</v>
      </c>
      <c r="C18" s="8" t="s">
        <v>65</v>
      </c>
      <c r="D18" s="8" t="s">
        <v>66</v>
      </c>
      <c r="E18" s="9" t="s">
        <v>67</v>
      </c>
      <c r="F18" s="7" t="s">
        <v>26</v>
      </c>
      <c r="G18" s="8" t="s">
        <v>18</v>
      </c>
      <c r="H18" s="7">
        <v>1</v>
      </c>
      <c r="I18" s="10">
        <v>0.02</v>
      </c>
      <c r="J18" s="10">
        <f t="shared" si="0"/>
        <v>0.02</v>
      </c>
      <c r="K18" s="12" t="s">
        <v>68</v>
      </c>
    </row>
    <row r="19" spans="1:11" ht="15" customHeight="1">
      <c r="A19" s="7">
        <v>15</v>
      </c>
      <c r="B19" s="7" t="s">
        <v>13</v>
      </c>
      <c r="C19" s="8" t="s">
        <v>65</v>
      </c>
      <c r="D19" s="8" t="s">
        <v>69</v>
      </c>
      <c r="E19" s="9" t="s">
        <v>70</v>
      </c>
      <c r="F19" s="7" t="s">
        <v>26</v>
      </c>
      <c r="G19" s="8" t="s">
        <v>18</v>
      </c>
      <c r="H19" s="7">
        <v>1</v>
      </c>
      <c r="I19" s="10">
        <v>0.01</v>
      </c>
      <c r="J19" s="10">
        <f t="shared" si="0"/>
        <v>0.01</v>
      </c>
      <c r="K19" s="9" t="s">
        <v>26</v>
      </c>
    </row>
    <row r="20" spans="1:11" ht="29.25" customHeight="1">
      <c r="A20" s="7">
        <v>16</v>
      </c>
      <c r="B20" s="7" t="s">
        <v>13</v>
      </c>
      <c r="C20" s="8" t="s">
        <v>65</v>
      </c>
      <c r="D20" s="8" t="s">
        <v>71</v>
      </c>
      <c r="E20" s="9" t="s">
        <v>72</v>
      </c>
      <c r="F20" s="7" t="s">
        <v>26</v>
      </c>
      <c r="G20" s="8" t="s">
        <v>18</v>
      </c>
      <c r="H20" s="7">
        <v>1</v>
      </c>
      <c r="I20" s="10">
        <v>0.01</v>
      </c>
      <c r="J20" s="10">
        <f t="shared" si="0"/>
        <v>0.01</v>
      </c>
      <c r="K20" s="9" t="s">
        <v>26</v>
      </c>
    </row>
    <row r="21" spans="1:11" ht="15" customHeight="1">
      <c r="A21" s="7">
        <v>17</v>
      </c>
      <c r="B21" s="7" t="s">
        <v>13</v>
      </c>
      <c r="C21" s="8" t="s">
        <v>65</v>
      </c>
      <c r="D21" s="8" t="s">
        <v>73</v>
      </c>
      <c r="E21" s="9" t="s">
        <v>74</v>
      </c>
      <c r="F21" s="7" t="s">
        <v>26</v>
      </c>
      <c r="G21" s="8" t="s">
        <v>18</v>
      </c>
      <c r="H21" s="7">
        <v>1</v>
      </c>
      <c r="I21" s="10">
        <v>0.1</v>
      </c>
      <c r="J21" s="10">
        <f t="shared" si="0"/>
        <v>0.1</v>
      </c>
      <c r="K21" s="12" t="s">
        <v>75</v>
      </c>
    </row>
    <row r="22" spans="1:11" ht="15" customHeight="1">
      <c r="A22" s="7">
        <v>18</v>
      </c>
      <c r="B22" s="7" t="s">
        <v>13</v>
      </c>
      <c r="C22" s="8" t="s">
        <v>76</v>
      </c>
      <c r="D22" s="8" t="s">
        <v>77</v>
      </c>
      <c r="E22" s="9" t="s">
        <v>78</v>
      </c>
      <c r="F22" s="7" t="s">
        <v>26</v>
      </c>
      <c r="G22" s="8" t="s">
        <v>18</v>
      </c>
      <c r="H22" s="7">
        <v>1</v>
      </c>
      <c r="I22" s="10">
        <v>0.08</v>
      </c>
      <c r="J22" s="10">
        <f t="shared" si="0"/>
        <v>0.08</v>
      </c>
      <c r="K22" s="9" t="s">
        <v>79</v>
      </c>
    </row>
    <row r="23" spans="1:11" ht="15" customHeight="1">
      <c r="A23" s="7">
        <v>19</v>
      </c>
      <c r="B23" s="7" t="s">
        <v>13</v>
      </c>
      <c r="C23" s="8" t="s">
        <v>76</v>
      </c>
      <c r="D23" s="8" t="s">
        <v>80</v>
      </c>
      <c r="E23" s="9" t="s">
        <v>81</v>
      </c>
      <c r="F23" s="7" t="s">
        <v>26</v>
      </c>
      <c r="G23" s="8" t="s">
        <v>18</v>
      </c>
      <c r="H23" s="7">
        <v>1</v>
      </c>
      <c r="I23" s="10">
        <v>2.2000000000000002</v>
      </c>
      <c r="J23" s="10">
        <f t="shared" si="0"/>
        <v>2.2000000000000002</v>
      </c>
      <c r="K23" s="9" t="s">
        <v>82</v>
      </c>
    </row>
    <row r="24" spans="1:11" ht="15" customHeight="1">
      <c r="A24" s="7">
        <v>20</v>
      </c>
      <c r="B24" s="7" t="s">
        <v>83</v>
      </c>
      <c r="C24" s="8" t="s">
        <v>14</v>
      </c>
      <c r="D24" s="8" t="s">
        <v>84</v>
      </c>
      <c r="E24" s="9" t="s">
        <v>85</v>
      </c>
      <c r="F24" s="7" t="s">
        <v>86</v>
      </c>
      <c r="G24" s="8" t="s">
        <v>18</v>
      </c>
      <c r="H24" s="7">
        <v>2</v>
      </c>
      <c r="I24" s="10">
        <v>2.17</v>
      </c>
      <c r="J24" s="10">
        <f t="shared" si="0"/>
        <v>4.34</v>
      </c>
      <c r="K24" s="9" t="s">
        <v>87</v>
      </c>
    </row>
    <row r="25" spans="1:11" ht="15" customHeight="1">
      <c r="A25" s="7">
        <v>21</v>
      </c>
      <c r="B25" s="7" t="s">
        <v>83</v>
      </c>
      <c r="C25" s="8" t="s">
        <v>14</v>
      </c>
      <c r="D25" s="8" t="s">
        <v>88</v>
      </c>
      <c r="E25" s="9" t="s">
        <v>89</v>
      </c>
      <c r="F25" s="7" t="s">
        <v>86</v>
      </c>
      <c r="G25" s="8" t="s">
        <v>90</v>
      </c>
      <c r="H25" s="7">
        <v>2</v>
      </c>
      <c r="I25" s="10">
        <v>2.17</v>
      </c>
      <c r="J25" s="10">
        <f t="shared" si="0"/>
        <v>4.34</v>
      </c>
      <c r="K25" s="9" t="s">
        <v>91</v>
      </c>
    </row>
    <row r="26" spans="1:11" ht="15" customHeight="1">
      <c r="A26" s="7">
        <v>22</v>
      </c>
      <c r="B26" s="7" t="s">
        <v>83</v>
      </c>
      <c r="C26" s="8" t="s">
        <v>14</v>
      </c>
      <c r="D26" s="8" t="s">
        <v>92</v>
      </c>
      <c r="E26" s="12" t="s">
        <v>93</v>
      </c>
      <c r="F26" s="7" t="s">
        <v>26</v>
      </c>
      <c r="G26" s="8" t="s">
        <v>18</v>
      </c>
      <c r="H26" s="7">
        <v>2</v>
      </c>
      <c r="I26" s="10">
        <v>0.03</v>
      </c>
      <c r="J26" s="10">
        <f t="shared" si="0"/>
        <v>0.06</v>
      </c>
      <c r="K26" s="9" t="s">
        <v>94</v>
      </c>
    </row>
    <row r="27" spans="1:11" ht="15" customHeight="1">
      <c r="A27" s="7">
        <v>23</v>
      </c>
      <c r="B27" s="7" t="s">
        <v>83</v>
      </c>
      <c r="C27" s="8" t="s">
        <v>14</v>
      </c>
      <c r="D27" s="8" t="s">
        <v>95</v>
      </c>
      <c r="E27" s="12" t="s">
        <v>93</v>
      </c>
      <c r="F27" s="7" t="s">
        <v>26</v>
      </c>
      <c r="G27" s="8" t="s">
        <v>90</v>
      </c>
      <c r="H27" s="7">
        <v>2</v>
      </c>
      <c r="I27" s="10">
        <v>0.03</v>
      </c>
      <c r="J27" s="10">
        <f t="shared" si="0"/>
        <v>0.06</v>
      </c>
      <c r="K27" s="9" t="s">
        <v>96</v>
      </c>
    </row>
    <row r="28" spans="1:11" ht="29.25" customHeight="1">
      <c r="A28" s="7">
        <v>24</v>
      </c>
      <c r="B28" s="7" t="s">
        <v>83</v>
      </c>
      <c r="C28" s="8" t="s">
        <v>14</v>
      </c>
      <c r="D28" s="8" t="s">
        <v>97</v>
      </c>
      <c r="E28" s="9" t="s">
        <v>98</v>
      </c>
      <c r="F28" s="7" t="s">
        <v>26</v>
      </c>
      <c r="G28" s="8" t="s">
        <v>18</v>
      </c>
      <c r="H28" s="7">
        <v>2</v>
      </c>
      <c r="I28" s="10">
        <v>0.5</v>
      </c>
      <c r="J28" s="10">
        <f t="shared" si="0"/>
        <v>1</v>
      </c>
      <c r="K28" s="9" t="s">
        <v>99</v>
      </c>
    </row>
    <row r="29" spans="1:11" ht="15" customHeight="1">
      <c r="A29" s="7">
        <v>25</v>
      </c>
      <c r="B29" s="7" t="s">
        <v>83</v>
      </c>
      <c r="C29" s="8" t="s">
        <v>14</v>
      </c>
      <c r="D29" s="8" t="s">
        <v>100</v>
      </c>
      <c r="E29" s="9" t="s">
        <v>98</v>
      </c>
      <c r="F29" s="7" t="s">
        <v>26</v>
      </c>
      <c r="G29" s="8" t="s">
        <v>90</v>
      </c>
      <c r="H29" s="7">
        <v>2</v>
      </c>
      <c r="I29" s="10">
        <v>0.5</v>
      </c>
      <c r="J29" s="10">
        <f t="shared" si="0"/>
        <v>1</v>
      </c>
      <c r="K29" s="9" t="s">
        <v>101</v>
      </c>
    </row>
    <row r="30" spans="1:11" ht="15" customHeight="1">
      <c r="A30" s="7">
        <v>26</v>
      </c>
      <c r="B30" s="7" t="s">
        <v>83</v>
      </c>
      <c r="C30" s="8" t="s">
        <v>76</v>
      </c>
      <c r="D30" s="8" t="s">
        <v>102</v>
      </c>
      <c r="E30" s="12" t="s">
        <v>103</v>
      </c>
      <c r="F30" s="11" t="s">
        <v>104</v>
      </c>
      <c r="G30" s="8" t="s">
        <v>105</v>
      </c>
      <c r="H30" s="7">
        <v>1</v>
      </c>
      <c r="I30" s="10">
        <v>0.35</v>
      </c>
      <c r="J30" s="10">
        <f t="shared" si="0"/>
        <v>0.35</v>
      </c>
      <c r="K30" s="9" t="s">
        <v>106</v>
      </c>
    </row>
    <row r="31" spans="1:11" ht="15" customHeight="1">
      <c r="A31" s="7">
        <v>27</v>
      </c>
      <c r="B31" s="7" t="s">
        <v>83</v>
      </c>
      <c r="C31" s="8" t="s">
        <v>76</v>
      </c>
      <c r="D31" s="8" t="s">
        <v>107</v>
      </c>
      <c r="E31" s="12" t="s">
        <v>108</v>
      </c>
      <c r="F31" s="11" t="s">
        <v>104</v>
      </c>
      <c r="G31" s="8" t="s">
        <v>90</v>
      </c>
      <c r="H31" s="7">
        <v>1</v>
      </c>
      <c r="I31" s="10">
        <v>0.6</v>
      </c>
      <c r="J31" s="10">
        <f t="shared" si="0"/>
        <v>0.6</v>
      </c>
      <c r="K31" s="9" t="s">
        <v>106</v>
      </c>
    </row>
    <row r="32" spans="1:11" ht="15" customHeight="1">
      <c r="A32" s="7">
        <v>28</v>
      </c>
      <c r="B32" s="7" t="s">
        <v>83</v>
      </c>
      <c r="C32" s="8" t="s">
        <v>76</v>
      </c>
      <c r="D32" s="8" t="s">
        <v>109</v>
      </c>
      <c r="E32" s="9" t="s">
        <v>36</v>
      </c>
      <c r="F32" s="7" t="s">
        <v>26</v>
      </c>
      <c r="G32" s="8" t="s">
        <v>18</v>
      </c>
      <c r="H32" s="7">
        <v>1</v>
      </c>
      <c r="I32" s="10">
        <v>0.03</v>
      </c>
      <c r="J32" s="10">
        <f t="shared" si="0"/>
        <v>0.03</v>
      </c>
      <c r="K32" s="9" t="s">
        <v>110</v>
      </c>
    </row>
    <row r="33" spans="1:11" ht="15" customHeight="1">
      <c r="A33" s="7">
        <v>29</v>
      </c>
      <c r="B33" s="7" t="s">
        <v>83</v>
      </c>
      <c r="C33" s="8" t="s">
        <v>76</v>
      </c>
      <c r="D33" s="8" t="s">
        <v>111</v>
      </c>
      <c r="E33" s="9" t="s">
        <v>112</v>
      </c>
      <c r="F33" s="7" t="s">
        <v>26</v>
      </c>
      <c r="G33" s="8" t="s">
        <v>105</v>
      </c>
      <c r="H33" s="7">
        <v>1</v>
      </c>
      <c r="I33" s="10">
        <v>0.8</v>
      </c>
      <c r="J33" s="10">
        <f t="shared" si="0"/>
        <v>0.8</v>
      </c>
      <c r="K33" s="9" t="s">
        <v>113</v>
      </c>
    </row>
    <row r="34" spans="1:11" ht="15" customHeight="1">
      <c r="A34" s="7">
        <v>30</v>
      </c>
      <c r="B34" s="7" t="s">
        <v>83</v>
      </c>
      <c r="C34" s="8" t="s">
        <v>76</v>
      </c>
      <c r="D34" s="8" t="s">
        <v>114</v>
      </c>
      <c r="E34" s="9" t="s">
        <v>115</v>
      </c>
      <c r="F34" s="7" t="s">
        <v>26</v>
      </c>
      <c r="G34" s="8" t="s">
        <v>90</v>
      </c>
      <c r="H34" s="7">
        <v>1</v>
      </c>
      <c r="I34" s="10">
        <v>1.2</v>
      </c>
      <c r="J34" s="10">
        <f t="shared" si="0"/>
        <v>1.2</v>
      </c>
      <c r="K34" s="9" t="s">
        <v>116</v>
      </c>
    </row>
    <row r="35" spans="1:11" ht="29.25" customHeight="1">
      <c r="A35" s="7">
        <v>31</v>
      </c>
      <c r="B35" s="7" t="s">
        <v>117</v>
      </c>
      <c r="C35" s="8" t="s">
        <v>118</v>
      </c>
      <c r="D35" s="8" t="s">
        <v>119</v>
      </c>
      <c r="E35" s="9" t="s">
        <v>120</v>
      </c>
      <c r="F35" s="7" t="s">
        <v>26</v>
      </c>
      <c r="G35" s="8" t="s">
        <v>18</v>
      </c>
      <c r="H35" s="7">
        <v>1</v>
      </c>
      <c r="I35" s="10">
        <v>0.05</v>
      </c>
      <c r="J35" s="10">
        <f t="shared" si="0"/>
        <v>0.05</v>
      </c>
      <c r="K35" s="12" t="s">
        <v>121</v>
      </c>
    </row>
    <row r="36" spans="1:11" ht="15" customHeight="1">
      <c r="A36" s="7">
        <v>32</v>
      </c>
      <c r="B36" s="7" t="s">
        <v>117</v>
      </c>
      <c r="C36" s="8" t="s">
        <v>118</v>
      </c>
      <c r="D36" s="8" t="s">
        <v>122</v>
      </c>
      <c r="E36" s="9" t="s">
        <v>123</v>
      </c>
      <c r="F36" s="7" t="s">
        <v>26</v>
      </c>
      <c r="G36" s="8" t="s">
        <v>18</v>
      </c>
      <c r="H36" s="7">
        <v>2</v>
      </c>
      <c r="I36" s="10">
        <v>0.05</v>
      </c>
      <c r="J36" s="10">
        <f t="shared" si="0"/>
        <v>0.1</v>
      </c>
      <c r="K36" s="9" t="s">
        <v>124</v>
      </c>
    </row>
    <row r="37" spans="1:11" ht="26.25" customHeight="1">
      <c r="A37" s="7">
        <v>33</v>
      </c>
      <c r="B37" s="7" t="s">
        <v>117</v>
      </c>
      <c r="C37" s="8" t="s">
        <v>118</v>
      </c>
      <c r="D37" s="8" t="s">
        <v>125</v>
      </c>
      <c r="E37" s="9" t="s">
        <v>126</v>
      </c>
      <c r="F37" s="7" t="s">
        <v>26</v>
      </c>
      <c r="G37" s="8" t="s">
        <v>18</v>
      </c>
      <c r="H37" s="7">
        <v>2</v>
      </c>
      <c r="I37" s="10">
        <v>0.01</v>
      </c>
      <c r="J37" s="10">
        <f t="shared" si="0"/>
        <v>0.02</v>
      </c>
      <c r="K37" s="9" t="s">
        <v>26</v>
      </c>
    </row>
    <row r="38" spans="1:11" ht="16.5" customHeight="1">
      <c r="A38" s="7">
        <v>34</v>
      </c>
      <c r="B38" s="7" t="s">
        <v>117</v>
      </c>
      <c r="C38" s="8" t="s">
        <v>118</v>
      </c>
      <c r="D38" s="8" t="s">
        <v>127</v>
      </c>
      <c r="E38" s="9" t="s">
        <v>128</v>
      </c>
      <c r="F38" s="11" t="s">
        <v>129</v>
      </c>
      <c r="G38" s="8" t="s">
        <v>18</v>
      </c>
      <c r="H38" s="7">
        <v>1</v>
      </c>
      <c r="I38" s="10">
        <v>0.5</v>
      </c>
      <c r="J38" s="10">
        <f t="shared" si="0"/>
        <v>0.5</v>
      </c>
      <c r="K38" s="9" t="s">
        <v>130</v>
      </c>
    </row>
    <row r="39" spans="1:11" ht="15" customHeight="1">
      <c r="A39" s="7">
        <v>35</v>
      </c>
      <c r="B39" s="7" t="s">
        <v>117</v>
      </c>
      <c r="C39" s="8" t="s">
        <v>118</v>
      </c>
      <c r="D39" s="8" t="s">
        <v>131</v>
      </c>
      <c r="E39" s="9" t="s">
        <v>78</v>
      </c>
      <c r="F39" s="7" t="s">
        <v>26</v>
      </c>
      <c r="G39" s="8" t="s">
        <v>18</v>
      </c>
      <c r="H39" s="7">
        <v>1</v>
      </c>
      <c r="I39" s="10">
        <v>0.08</v>
      </c>
      <c r="J39" s="10">
        <f t="shared" si="0"/>
        <v>0.08</v>
      </c>
      <c r="K39" s="9" t="s">
        <v>132</v>
      </c>
    </row>
    <row r="40" spans="1:11" ht="15" customHeight="1">
      <c r="A40" s="7">
        <v>36</v>
      </c>
      <c r="B40" s="7" t="s">
        <v>117</v>
      </c>
      <c r="C40" s="8" t="s">
        <v>76</v>
      </c>
      <c r="D40" s="8" t="s">
        <v>133</v>
      </c>
      <c r="E40" s="9" t="s">
        <v>134</v>
      </c>
      <c r="F40" s="7" t="s">
        <v>26</v>
      </c>
      <c r="G40" s="8" t="s">
        <v>18</v>
      </c>
      <c r="H40" s="7">
        <v>1</v>
      </c>
      <c r="I40" s="10">
        <v>1</v>
      </c>
      <c r="J40" s="10">
        <f t="shared" si="0"/>
        <v>1</v>
      </c>
      <c r="K40" s="12" t="s">
        <v>135</v>
      </c>
    </row>
    <row r="41" spans="1:11" ht="16.5" customHeight="1">
      <c r="A41" s="13"/>
    </row>
    <row r="42" spans="1:11" ht="30" customHeight="1">
      <c r="A42" s="2" t="s">
        <v>136</v>
      </c>
      <c r="B42" s="2"/>
      <c r="C42" s="2"/>
      <c r="D42" s="2"/>
      <c r="E42" s="2"/>
      <c r="F42" s="2"/>
      <c r="G42" s="2"/>
      <c r="H42" s="2"/>
      <c r="I42" s="2"/>
      <c r="J42" s="14">
        <f>SUMIF(G5:G40,"공통",J5:J40)+SUMIF(G5:G40,"40A전용",J5:J40)</f>
        <v>15.739999999999997</v>
      </c>
    </row>
    <row r="43" spans="1:11" ht="30" customHeight="1">
      <c r="A43" s="2" t="s">
        <v>137</v>
      </c>
      <c r="B43" s="2"/>
      <c r="C43" s="2"/>
      <c r="D43" s="2"/>
      <c r="E43" s="2"/>
      <c r="F43" s="2"/>
      <c r="G43" s="2"/>
      <c r="H43" s="2"/>
      <c r="I43" s="2"/>
      <c r="J43" s="14">
        <f>SUMIF(G5:G40,"공통",J5:J40)+SUMIF(G5:G40,"100A DNP",J5:J40)</f>
        <v>21.789999999999996</v>
      </c>
    </row>
    <row r="45" spans="1:11">
      <c r="A45" s="1" t="s">
        <v>138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139</v>
      </c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mergeCells count="6">
    <mergeCell ref="A46:K46"/>
    <mergeCell ref="A1:K1"/>
    <mergeCell ref="A2:K2"/>
    <mergeCell ref="A42:I42"/>
    <mergeCell ref="A43:I43"/>
    <mergeCell ref="A45:K45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영석 손</cp:lastModifiedBy>
  <cp:revision>0</cp:revision>
  <dcterms:created xsi:type="dcterms:W3CDTF">2026-08-04T14:40:42Z</dcterms:created>
  <dcterms:modified xsi:type="dcterms:W3CDTF">2026-08-05T16:55:11Z</dcterms:modified>
  <dc:language>en-US</dc:language>
</cp:coreProperties>
</file>