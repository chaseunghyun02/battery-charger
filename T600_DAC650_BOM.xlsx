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<sst xmlns="http://schemas.openxmlformats.org/spreadsheetml/2006/main" count="123" uniqueCount="97">
  <si>
    <r>
      <rPr>
        <rFont val="Arial"/>
        <b/>
        <color theme="1"/>
        <sz val="14.0"/>
      </rPr>
      <t xml:space="preserve">T600 / DAC-650 </t>
    </r>
    <r>
      <rPr>
        <rFont val="Noto Sans CJK SC"/>
        <b/>
        <color theme="1"/>
        <sz val="14.0"/>
      </rPr>
      <t xml:space="preserve">충전기 컨트롤러 — 자재명세서 </t>
    </r>
    <r>
      <rPr>
        <rFont val="Arial"/>
        <b/>
        <color theme="1"/>
        <sz val="14.0"/>
      </rPr>
      <t>(BOM)</t>
    </r>
  </si>
  <si>
    <r>
      <rPr>
        <rFont val="Arial"/>
        <i/>
        <color rgb="FF555555"/>
        <sz val="9.0"/>
      </rPr>
      <t xml:space="preserve">50A </t>
    </r>
    <r>
      <rPr>
        <rFont val="Noto Sans CJK SC"/>
        <i/>
        <color rgb="FF555555"/>
        <sz val="9.0"/>
      </rPr>
      <t xml:space="preserve">통일 버전 </t>
    </r>
    <r>
      <rPr>
        <rFont val="Arial"/>
        <i/>
        <color rgb="FF555555"/>
        <sz val="9.0"/>
      </rPr>
      <t xml:space="preserve">(15V/50A·750W, 30V/50A·1500W, 60V/25A·1500W) — </t>
    </r>
    <r>
      <rPr>
        <rFont val="Noto Sans CJK SC"/>
        <i/>
        <color rgb="FF555555"/>
        <sz val="9.0"/>
      </rPr>
      <t>컨트롤러 보드 기준</t>
    </r>
    <r>
      <rPr>
        <rFont val="Arial"/>
        <i/>
        <color rgb="FF555555"/>
        <sz val="9.0"/>
      </rPr>
      <t xml:space="preserve">, </t>
    </r>
    <r>
      <rPr>
        <rFont val="Noto Sans CJK SC"/>
        <i/>
        <color rgb="FF555555"/>
        <sz val="9.0"/>
      </rPr>
      <t xml:space="preserve">외부 </t>
    </r>
    <r>
      <rPr>
        <rFont val="Arial"/>
        <i/>
        <color rgb="FF555555"/>
        <sz val="9.0"/>
      </rPr>
      <t>SMPS</t>
    </r>
    <r>
      <rPr>
        <rFont val="Noto Sans CJK SC"/>
        <i/>
        <color rgb="FF555555"/>
        <sz val="9.0"/>
      </rPr>
      <t xml:space="preserve">는 별도 조달로 </t>
    </r>
    <r>
      <rPr>
        <rFont val="Arial"/>
        <i/>
        <color rgb="FF555555"/>
        <sz val="9.0"/>
      </rPr>
      <t xml:space="preserve">BOM </t>
    </r>
    <r>
      <rPr>
        <rFont val="Noto Sans CJK SC"/>
        <i/>
        <color rgb="FF555555"/>
        <sz val="9.0"/>
      </rPr>
      <t>제외</t>
    </r>
  </si>
  <si>
    <t>No.</t>
  </si>
  <si>
    <t>구분</t>
  </si>
  <si>
    <t>부품명</t>
  </si>
  <si>
    <r>
      <rPr>
        <rFont val="Arial"/>
        <b/>
        <color rgb="FFFFFFFF"/>
        <sz val="10.0"/>
      </rPr>
      <t xml:space="preserve">Spec / </t>
    </r>
    <r>
      <rPr>
        <rFont val="Noto Sans CJK SC"/>
        <b/>
        <color rgb="FFFFFFFF"/>
        <sz val="10.0"/>
      </rPr>
      <t>설명</t>
    </r>
  </si>
  <si>
    <r>
      <rPr>
        <rFont val="Noto Sans CJK SC"/>
        <b/>
        <color rgb="FFFFFFFF"/>
        <sz val="10.0"/>
      </rPr>
      <t>제조사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예시</t>
    </r>
    <r>
      <rPr>
        <rFont val="Arial"/>
        <b/>
        <color rgb="FFFFFFFF"/>
        <sz val="10.0"/>
      </rPr>
      <t>)</t>
    </r>
  </si>
  <si>
    <t>수량</t>
  </si>
  <si>
    <r>
      <rPr>
        <rFont val="Noto Sans CJK SC"/>
        <b/>
        <color rgb="FFFFFFFF"/>
        <sz val="10.0"/>
      </rPr>
      <t>단가</t>
    </r>
    <r>
      <rPr>
        <rFont val="Arial"/>
        <b/>
        <color rgb="FFFFFFFF"/>
        <sz val="10.0"/>
      </rPr>
      <t>(USD)</t>
    </r>
  </si>
  <si>
    <r>
      <rPr>
        <rFont val="Noto Sans CJK SC"/>
        <b/>
        <color rgb="FFFFFFFF"/>
        <sz val="10.0"/>
      </rPr>
      <t>금액</t>
    </r>
    <r>
      <rPr>
        <rFont val="Arial"/>
        <b/>
        <color rgb="FFFFFFFF"/>
        <sz val="10.0"/>
      </rPr>
      <t>(USD)</t>
    </r>
  </si>
  <si>
    <t>비고</t>
  </si>
  <si>
    <r>
      <rPr>
        <rFont val="Noto Sans CJK SC"/>
        <color theme="1"/>
        <sz val="10.0"/>
      </rPr>
      <t>전원입력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보호단</t>
    </r>
  </si>
  <si>
    <t>입력단 릴레이</t>
  </si>
  <si>
    <r>
      <rPr>
        <rFont val="Arial"/>
        <color theme="1"/>
        <sz val="10.0"/>
      </rPr>
      <t xml:space="preserve">12V </t>
    </r>
    <r>
      <rPr>
        <rFont val="Noto Sans CJK SC"/>
        <color theme="1"/>
        <sz val="10.0"/>
      </rPr>
      <t>코일</t>
    </r>
    <r>
      <rPr>
        <rFont val="Arial"/>
        <color theme="1"/>
        <sz val="10.0"/>
      </rPr>
      <t>, 20A/250VAC</t>
    </r>
  </si>
  <si>
    <t>Hongfa (HF115F/012-1HS3A)</t>
  </si>
  <si>
    <r>
      <rPr>
        <rFont val="Arial"/>
        <color theme="1"/>
        <sz val="10.0"/>
      </rPr>
      <t>AC</t>
    </r>
    <r>
      <rPr>
        <rFont val="Noto Sans CJK SC"/>
        <color theme="1"/>
        <sz val="10.0"/>
      </rPr>
      <t>측 스위칭</t>
    </r>
    <r>
      <rPr>
        <rFont val="Arial"/>
        <color theme="1"/>
        <sz val="10.0"/>
      </rPr>
      <t xml:space="preserve">, 110V/220V </t>
    </r>
    <r>
      <rPr>
        <rFont val="Noto Sans CJK SC"/>
        <color theme="1"/>
        <sz val="10.0"/>
      </rPr>
      <t>겸용</t>
    </r>
  </si>
  <si>
    <r>
      <rPr>
        <rFont val="Noto Sans CJK SC"/>
        <color theme="1"/>
        <sz val="10.0"/>
      </rPr>
      <t>전원입력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보호단</t>
    </r>
  </si>
  <si>
    <t>역접속 보호 컨트롤러</t>
  </si>
  <si>
    <r>
      <rPr>
        <rFont val="Arial"/>
        <color theme="1"/>
        <sz val="10.0"/>
      </rPr>
      <t xml:space="preserve">SOT23-6, 3.2~65V, 0.45µs </t>
    </r>
    <r>
      <rPr>
        <rFont val="Noto Sans CJK SC"/>
        <color theme="1"/>
        <sz val="10.0"/>
      </rPr>
      <t>자동차단</t>
    </r>
  </si>
  <si>
    <t>TI (LM74700QDBVRQ1)</t>
  </si>
  <si>
    <r>
      <rPr>
        <rFont val="Arial"/>
        <color theme="1"/>
        <sz val="10.0"/>
      </rPr>
      <t xml:space="preserve">MCU </t>
    </r>
    <r>
      <rPr>
        <rFont val="Noto Sans CJK SC"/>
        <color theme="1"/>
        <sz val="10.0"/>
      </rPr>
      <t>비개입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역접속 순간보호</t>
    </r>
  </si>
  <si>
    <r>
      <rPr>
        <rFont val="Noto Sans CJK SC"/>
        <color theme="1"/>
        <sz val="10.0"/>
      </rPr>
      <t>전원입력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보호단</t>
    </r>
  </si>
  <si>
    <r>
      <rPr>
        <rFont val="Noto Sans CJK SC"/>
        <color theme="1"/>
        <sz val="10.0"/>
      </rPr>
      <t xml:space="preserve">보호 </t>
    </r>
    <r>
      <rPr>
        <rFont val="Arial"/>
        <color theme="1"/>
        <sz val="10.0"/>
      </rPr>
      <t>MOSFET</t>
    </r>
  </si>
  <si>
    <t>100V, RDS_on 4.5mΩ, TO-220</t>
  </si>
  <si>
    <t>Infineon (IRFB4110PBF)</t>
  </si>
  <si>
    <r>
      <rPr>
        <rFont val="Noto Sans CJK SC"/>
        <color theme="1"/>
        <sz val="10.0"/>
      </rPr>
      <t xml:space="preserve">병렬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개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전 계열 공통 </t>
    </r>
    <r>
      <rPr>
        <rFont val="Arial"/>
        <color theme="1"/>
        <sz val="10.0"/>
      </rPr>
      <t>50A</t>
    </r>
  </si>
  <si>
    <r>
      <rPr>
        <rFont val="Noto Sans CJK SC"/>
        <color theme="1"/>
        <sz val="10.0"/>
      </rPr>
      <t>전원입력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보호단</t>
    </r>
  </si>
  <si>
    <r>
      <rPr>
        <rFont val="Arial"/>
        <color theme="1"/>
        <sz val="10.0"/>
      </rPr>
      <t xml:space="preserve">AC </t>
    </r>
    <r>
      <rPr>
        <rFont val="Noto Sans CJK SC"/>
        <color theme="1"/>
        <sz val="10.0"/>
      </rPr>
      <t>입력 터미널블록</t>
    </r>
    <r>
      <rPr>
        <rFont val="Arial"/>
        <color theme="1"/>
        <sz val="10.0"/>
      </rPr>
      <t>(2P)</t>
    </r>
  </si>
  <si>
    <r>
      <rPr>
        <rFont val="Arial"/>
        <color theme="1"/>
        <sz val="10.0"/>
      </rPr>
      <t>300V/20A</t>
    </r>
    <r>
      <rPr>
        <rFont val="Noto Sans CJK SC"/>
        <color theme="1"/>
        <sz val="10.0"/>
      </rPr>
      <t>급</t>
    </r>
    <r>
      <rPr>
        <rFont val="Arial"/>
        <color theme="1"/>
        <sz val="10.0"/>
      </rPr>
      <t xml:space="preserve">, 5.08mm </t>
    </r>
    <r>
      <rPr>
        <rFont val="Noto Sans CJK SC"/>
        <color theme="1"/>
        <sz val="10.0"/>
      </rPr>
      <t>피치</t>
    </r>
  </si>
  <si>
    <r>
      <rPr>
        <rFont val="Noto Sans CJK SC"/>
        <color theme="1"/>
        <sz val="10.0"/>
      </rPr>
      <t>예시</t>
    </r>
    <r>
      <rPr>
        <rFont val="Arial"/>
        <color theme="1"/>
        <sz val="10.0"/>
      </rPr>
      <t>: Degson</t>
    </r>
  </si>
  <si>
    <r>
      <rPr>
        <rFont val="Noto Sans CJK SC"/>
        <color theme="1"/>
        <sz val="10.0"/>
      </rPr>
      <t>견적 필요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벤더 확정 전 추정가</t>
    </r>
    <r>
      <rPr>
        <rFont val="Arial"/>
        <color theme="1"/>
        <sz val="10.0"/>
      </rPr>
      <t>)</t>
    </r>
  </si>
  <si>
    <r>
      <rPr>
        <rFont val="Noto Sans CJK SC"/>
        <color theme="1"/>
        <sz val="10.0"/>
      </rPr>
      <t>전원입력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보호단</t>
    </r>
  </si>
  <si>
    <r>
      <rPr>
        <rFont val="Noto Sans CJK SC"/>
        <color theme="1"/>
        <sz val="10.0"/>
      </rPr>
      <t>배터리 출력 터미널블록</t>
    </r>
    <r>
      <rPr>
        <rFont val="Arial"/>
        <color theme="1"/>
        <sz val="10.0"/>
      </rPr>
      <t>(2P)</t>
    </r>
  </si>
  <si>
    <r>
      <rPr>
        <rFont val="Arial"/>
        <color theme="1"/>
        <sz val="10.0"/>
      </rPr>
      <t>50A</t>
    </r>
    <r>
      <rPr>
        <rFont val="Noto Sans CJK SC"/>
        <color theme="1"/>
        <sz val="10.0"/>
      </rPr>
      <t xml:space="preserve">급 </t>
    </r>
    <r>
      <rPr>
        <rFont val="Arial"/>
        <color theme="1"/>
        <sz val="10.0"/>
      </rPr>
      <t xml:space="preserve">PCB </t>
    </r>
    <r>
      <rPr>
        <rFont val="Noto Sans CJK SC"/>
        <color theme="1"/>
        <sz val="10.0"/>
      </rPr>
      <t>스크류 터미널</t>
    </r>
  </si>
  <si>
    <r>
      <rPr>
        <rFont val="Noto Sans CJK SC"/>
        <color theme="1"/>
        <sz val="10.0"/>
      </rPr>
      <t>예시</t>
    </r>
    <r>
      <rPr>
        <rFont val="Arial"/>
        <color theme="1"/>
        <sz val="10.0"/>
      </rPr>
      <t>: Weidmuller/Degson</t>
    </r>
  </si>
  <si>
    <r>
      <rPr>
        <rFont val="Noto Sans CJK SC"/>
        <color theme="1"/>
        <sz val="10.0"/>
      </rPr>
      <t xml:space="preserve">견적 필요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벤더 확정 전 추정가</t>
    </r>
    <r>
      <rPr>
        <rFont val="Arial"/>
        <color theme="1"/>
        <sz val="10.0"/>
      </rPr>
      <t>)</t>
    </r>
  </si>
  <si>
    <t>보조전원</t>
  </si>
  <si>
    <r>
      <rPr>
        <rFont val="Arial"/>
        <color theme="1"/>
        <sz val="10.0"/>
      </rPr>
      <t xml:space="preserve">AUX AC-DC </t>
    </r>
    <r>
      <rPr>
        <rFont val="Noto Sans CJK SC"/>
        <color theme="1"/>
        <sz val="10.0"/>
      </rPr>
      <t>모듈</t>
    </r>
  </si>
  <si>
    <t>220V/110V In, 12V/3W Out</t>
  </si>
  <si>
    <t>Hi-Link (HLK-PM12)</t>
  </si>
  <si>
    <t>릴레이 앞단 상시 급전</t>
  </si>
  <si>
    <r>
      <rPr>
        <rFont val="Arial"/>
        <color theme="1"/>
        <sz val="10.0"/>
      </rPr>
      <t xml:space="preserve">5V LDO </t>
    </r>
    <r>
      <rPr>
        <rFont val="Noto Sans CJK SC"/>
        <color theme="1"/>
        <sz val="10.0"/>
      </rPr>
      <t>레귤레이터</t>
    </r>
  </si>
  <si>
    <t>SOT-223, 12V→5V</t>
  </si>
  <si>
    <r>
      <rPr>
        <rFont val="Noto Sans CJK SC"/>
        <color theme="1"/>
        <sz val="10.0"/>
      </rPr>
      <t>예시</t>
    </r>
    <r>
      <rPr>
        <rFont val="Arial"/>
        <color theme="1"/>
        <sz val="10.0"/>
      </rPr>
      <t>: AMS1117-5.0</t>
    </r>
  </si>
  <si>
    <r>
      <rPr>
        <rFont val="Arial"/>
        <color theme="1"/>
        <sz val="10.0"/>
      </rPr>
      <t xml:space="preserve">MCU/FND/LED 5V </t>
    </r>
    <r>
      <rPr>
        <rFont val="Noto Sans CJK SC"/>
        <color theme="1"/>
        <sz val="10.0"/>
      </rPr>
      <t>레일</t>
    </r>
  </si>
  <si>
    <r>
      <rPr>
        <rFont val="Arial"/>
        <color theme="1"/>
        <sz val="10.0"/>
      </rPr>
      <t xml:space="preserve">LDO </t>
    </r>
    <r>
      <rPr>
        <rFont val="Noto Sans CJK SC"/>
        <color theme="1"/>
        <sz val="10.0"/>
      </rPr>
      <t>입출력 커패시터</t>
    </r>
  </si>
  <si>
    <t>10µF, 16V, 0805</t>
  </si>
  <si>
    <t>-</t>
  </si>
  <si>
    <r>
      <rPr>
        <rFont val="Arial"/>
        <color theme="1"/>
        <sz val="10.0"/>
      </rPr>
      <t xml:space="preserve">LDO </t>
    </r>
    <r>
      <rPr>
        <rFont val="Noto Sans CJK SC"/>
        <color theme="1"/>
        <sz val="10.0"/>
      </rPr>
      <t>안정화용</t>
    </r>
  </si>
  <si>
    <t>컨트롤러</t>
  </si>
  <si>
    <t>MCU</t>
  </si>
  <si>
    <t>TSSOP20, 8KB Flash</t>
  </si>
  <si>
    <t>ST (STM8S003F3P6)</t>
  </si>
  <si>
    <r>
      <rPr>
        <rFont val="Noto Sans CJK SC"/>
        <color theme="1"/>
        <sz val="10.0"/>
      </rPr>
      <t>버튼</t>
    </r>
    <r>
      <rPr>
        <rFont val="Arial"/>
        <color theme="1"/>
        <sz val="10.0"/>
      </rPr>
      <t>/FND/LED/</t>
    </r>
    <r>
      <rPr>
        <rFont val="Noto Sans CJK SC"/>
        <color theme="1"/>
        <sz val="10.0"/>
      </rPr>
      <t>릴레이 제어</t>
    </r>
    <r>
      <rPr>
        <rFont val="Arial"/>
        <color theme="1"/>
        <sz val="10.0"/>
      </rPr>
      <t>, ADC 2</t>
    </r>
    <r>
      <rPr>
        <rFont val="Noto Sans CJK SC"/>
        <color theme="1"/>
        <sz val="10.0"/>
      </rPr>
      <t>채널</t>
    </r>
  </si>
  <si>
    <r>
      <rPr>
        <rFont val="Noto Sans CJK SC"/>
        <color theme="1"/>
        <sz val="10.0"/>
      </rPr>
      <t>택트 버튼</t>
    </r>
    <r>
      <rPr>
        <rFont val="Arial"/>
        <color theme="1"/>
        <sz val="10.0"/>
      </rPr>
      <t>(SW1)</t>
    </r>
  </si>
  <si>
    <r>
      <rPr>
        <rFont val="Arial"/>
        <color theme="1"/>
        <sz val="10.0"/>
      </rPr>
      <t xml:space="preserve">6x6mm </t>
    </r>
    <r>
      <rPr>
        <rFont val="Noto Sans CJK SC"/>
        <color theme="1"/>
        <sz val="10.0"/>
      </rPr>
      <t>표면형</t>
    </r>
  </si>
  <si>
    <r>
      <rPr>
        <rFont val="Noto Sans CJK SC"/>
        <color theme="1"/>
        <sz val="10.0"/>
      </rPr>
      <t>내부 풀업 사용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외부 저항 불필요</t>
    </r>
  </si>
  <si>
    <r>
      <rPr>
        <rFont val="Noto Sans CJK SC"/>
        <color theme="1"/>
        <sz val="10.0"/>
      </rPr>
      <t xml:space="preserve">상태 </t>
    </r>
    <r>
      <rPr>
        <rFont val="Arial"/>
        <color theme="1"/>
        <sz val="10.0"/>
      </rPr>
      <t>LED</t>
    </r>
  </si>
  <si>
    <r>
      <rPr>
        <rFont val="Arial"/>
        <color theme="1"/>
        <sz val="10.0"/>
      </rPr>
      <t xml:space="preserve">5mm </t>
    </r>
    <r>
      <rPr>
        <rFont val="Noto Sans CJK SC"/>
        <color theme="1"/>
        <sz val="10.0"/>
      </rPr>
      <t xml:space="preserve">또는 </t>
    </r>
    <r>
      <rPr>
        <rFont val="Arial"/>
        <color theme="1"/>
        <sz val="10.0"/>
      </rPr>
      <t xml:space="preserve">SMD, </t>
    </r>
    <r>
      <rPr>
        <rFont val="Noto Sans CJK SC"/>
        <color theme="1"/>
        <sz val="10.0"/>
      </rPr>
      <t>저전력</t>
    </r>
  </si>
  <si>
    <r>
      <rPr>
        <rFont val="Arial"/>
        <color theme="1"/>
        <sz val="10.0"/>
      </rPr>
      <t xml:space="preserve">LED1 </t>
    </r>
    <r>
      <rPr>
        <rFont val="Noto Sans CJK SC"/>
        <color theme="1"/>
        <sz val="10.0"/>
      </rPr>
      <t>상태표시</t>
    </r>
    <r>
      <rPr>
        <rFont val="Arial"/>
        <color theme="1"/>
        <sz val="10.0"/>
      </rPr>
      <t xml:space="preserve">, LED2 </t>
    </r>
    <r>
      <rPr>
        <rFont val="Noto Sans CJK SC"/>
        <color theme="1"/>
        <sz val="10.0"/>
      </rPr>
      <t>충전중</t>
    </r>
  </si>
  <si>
    <r>
      <rPr>
        <rFont val="Arial"/>
        <color theme="1"/>
        <sz val="10.0"/>
      </rPr>
      <t xml:space="preserve">LED </t>
    </r>
    <r>
      <rPr>
        <rFont val="Noto Sans CJK SC"/>
        <color theme="1"/>
        <sz val="10.0"/>
      </rPr>
      <t xml:space="preserve">전류제한저항 </t>
    </r>
    <r>
      <rPr>
        <rFont val="Arial"/>
        <color theme="1"/>
        <sz val="10.0"/>
      </rPr>
      <t>(R3,R4)</t>
    </r>
  </si>
  <si>
    <t>330Ω, 1/4W</t>
  </si>
  <si>
    <r>
      <rPr>
        <rFont val="Arial"/>
        <color theme="1"/>
        <sz val="10.0"/>
      </rPr>
      <t>FND (3</t>
    </r>
    <r>
      <rPr>
        <rFont val="Noto Sans CJK SC"/>
        <color theme="1"/>
        <sz val="10.0"/>
      </rPr>
      <t xml:space="preserve">자리 </t>
    </r>
    <r>
      <rPr>
        <rFont val="Arial"/>
        <color theme="1"/>
        <sz val="10.0"/>
      </rPr>
      <t>7-</t>
    </r>
    <r>
      <rPr>
        <rFont val="Noto Sans CJK SC"/>
        <color theme="1"/>
        <sz val="10.0"/>
      </rPr>
      <t>세그먼트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</si>
  <si>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0.56", </t>
    </r>
    <r>
      <rPr>
        <rFont val="Noto Sans CJK SC"/>
        <color theme="1"/>
        <sz val="10.0"/>
      </rPr>
      <t>공통캐소드</t>
    </r>
  </si>
  <si>
    <t>예시 규격</t>
  </si>
  <si>
    <r>
      <rPr>
        <rFont val="Arial"/>
        <color theme="1"/>
        <sz val="10.0"/>
      </rPr>
      <t xml:space="preserve">MCU </t>
    </r>
    <r>
      <rPr>
        <rFont val="Noto Sans CJK SC"/>
        <color theme="1"/>
        <sz val="10.0"/>
      </rPr>
      <t xml:space="preserve">멀티플렉스 구동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견적 필요</t>
    </r>
    <r>
      <rPr>
        <rFont val="Arial"/>
        <color theme="1"/>
        <sz val="10.0"/>
      </rPr>
      <t>)</t>
    </r>
  </si>
  <si>
    <t>릴레이 구동단</t>
  </si>
  <si>
    <r>
      <rPr>
        <rFont val="Noto Sans CJK SC"/>
        <color theme="1"/>
        <sz val="10.0"/>
      </rPr>
      <t>릴레이 구동 트랜지스터</t>
    </r>
    <r>
      <rPr>
        <rFont val="Arial"/>
        <color theme="1"/>
        <sz val="10.0"/>
      </rPr>
      <t>(Q1)</t>
    </r>
  </si>
  <si>
    <t>NPN, TO-92</t>
  </si>
  <si>
    <r>
      <rPr>
        <rFont val="Noto Sans CJK SC"/>
        <color theme="1"/>
        <sz val="10.0"/>
      </rPr>
      <t>예시</t>
    </r>
    <r>
      <rPr>
        <rFont val="Arial"/>
        <color theme="1"/>
        <sz val="10.0"/>
      </rPr>
      <t>: 2N2222</t>
    </r>
  </si>
  <si>
    <r>
      <rPr>
        <rFont val="Arial"/>
        <color theme="1"/>
        <sz val="10.0"/>
      </rPr>
      <t xml:space="preserve">RELAY_DRV → </t>
    </r>
    <r>
      <rPr>
        <rFont val="Noto Sans CJK SC"/>
        <color theme="1"/>
        <sz val="10.0"/>
      </rPr>
      <t>코일 저전위 스위칭</t>
    </r>
  </si>
  <si>
    <r>
      <rPr>
        <rFont val="Noto Sans CJK SC"/>
        <color theme="1"/>
        <sz val="10.0"/>
      </rPr>
      <t>베이스 저항</t>
    </r>
    <r>
      <rPr>
        <rFont val="Arial"/>
        <color theme="1"/>
        <sz val="10.0"/>
      </rPr>
      <t>(Rb)</t>
    </r>
  </si>
  <si>
    <t>1kΩ, 1/4W</t>
  </si>
  <si>
    <r>
      <rPr>
        <rFont val="Noto Sans CJK SC"/>
        <color theme="1"/>
        <sz val="10.0"/>
      </rPr>
      <t>플라이백 다이오드</t>
    </r>
    <r>
      <rPr>
        <rFont val="Arial"/>
        <color theme="1"/>
        <sz val="10.0"/>
      </rPr>
      <t>(D1)</t>
    </r>
  </si>
  <si>
    <t>1N4148</t>
  </si>
  <si>
    <t>코일 역기전력 클램프</t>
  </si>
  <si>
    <t>센싱</t>
  </si>
  <si>
    <r>
      <rPr>
        <rFont val="Arial"/>
        <color theme="1"/>
        <sz val="10.0"/>
      </rPr>
      <t xml:space="preserve">VBATT </t>
    </r>
    <r>
      <rPr>
        <rFont val="Noto Sans CJK SC"/>
        <color theme="1"/>
        <sz val="10.0"/>
      </rPr>
      <t xml:space="preserve">분압저항 </t>
    </r>
    <r>
      <rPr>
        <rFont val="Arial"/>
        <color theme="1"/>
        <sz val="10.0"/>
      </rPr>
      <t>R5</t>
    </r>
  </si>
  <si>
    <t>100kΩ, 1%, 1/4W</t>
  </si>
  <si>
    <r>
      <rPr>
        <rFont val="Noto Sans CJK SC"/>
        <color theme="1"/>
        <sz val="10.0"/>
      </rPr>
      <t xml:space="preserve">최대 </t>
    </r>
    <r>
      <rPr>
        <rFont val="Arial"/>
        <color theme="1"/>
        <sz val="10.0"/>
      </rPr>
      <t xml:space="preserve">60V → ADC </t>
    </r>
    <r>
      <rPr>
        <rFont val="Noto Sans CJK SC"/>
        <color theme="1"/>
        <sz val="10.0"/>
      </rPr>
      <t xml:space="preserve">약 </t>
    </r>
    <r>
      <rPr>
        <rFont val="Arial"/>
        <color theme="1"/>
        <sz val="10.0"/>
      </rPr>
      <t>3.2V</t>
    </r>
  </si>
  <si>
    <r>
      <rPr>
        <rFont val="Arial"/>
        <color theme="1"/>
        <sz val="10.0"/>
      </rPr>
      <t xml:space="preserve">VBATT </t>
    </r>
    <r>
      <rPr>
        <rFont val="Noto Sans CJK SC"/>
        <color theme="1"/>
        <sz val="10.0"/>
      </rPr>
      <t xml:space="preserve">분압저항 </t>
    </r>
    <r>
      <rPr>
        <rFont val="Arial"/>
        <color theme="1"/>
        <sz val="10.0"/>
      </rPr>
      <t>R6</t>
    </r>
  </si>
  <si>
    <t>5.6kΩ, 1%, 1/4W</t>
  </si>
  <si>
    <r>
      <rPr>
        <rFont val="Arial"/>
        <color theme="1"/>
        <sz val="10.0"/>
      </rPr>
      <t xml:space="preserve">NTC </t>
    </r>
    <r>
      <rPr>
        <rFont val="Noto Sans CJK SC"/>
        <color theme="1"/>
        <sz val="10.0"/>
      </rPr>
      <t xml:space="preserve">바이어스저항 </t>
    </r>
    <r>
      <rPr>
        <rFont val="Arial"/>
        <color theme="1"/>
        <sz val="10.0"/>
      </rPr>
      <t>R8</t>
    </r>
  </si>
  <si>
    <t>10kΩ, 1/4W</t>
  </si>
  <si>
    <r>
      <rPr>
        <rFont val="Noto Sans CJK SC"/>
        <color theme="1"/>
        <sz val="10.0"/>
      </rPr>
      <t>온도센서</t>
    </r>
    <r>
      <rPr>
        <rFont val="Arial"/>
        <color theme="1"/>
        <sz val="10.0"/>
      </rPr>
      <t>(NTC1)</t>
    </r>
  </si>
  <si>
    <r>
      <rPr>
        <rFont val="Arial"/>
        <color theme="1"/>
        <sz val="10.0"/>
      </rPr>
      <t xml:space="preserve">10kΩ@25°C </t>
    </r>
    <r>
      <rPr>
        <rFont val="Noto Sans CJK SC"/>
        <color theme="1"/>
        <sz val="10.0"/>
      </rPr>
      <t>서미스터</t>
    </r>
  </si>
  <si>
    <t>충전기 온도 모니터링</t>
  </si>
  <si>
    <r>
      <rPr>
        <rFont val="Arial"/>
        <color theme="1"/>
        <sz val="10.0"/>
      </rPr>
      <t>PCB/</t>
    </r>
    <r>
      <rPr>
        <rFont val="Noto Sans CJK SC"/>
        <color theme="1"/>
        <sz val="10.0"/>
      </rPr>
      <t>기타</t>
    </r>
  </si>
  <si>
    <r>
      <rPr>
        <rFont val="Arial"/>
        <color theme="1"/>
        <sz val="10.0"/>
      </rPr>
      <t xml:space="preserve">PCB </t>
    </r>
    <r>
      <rPr>
        <rFont val="Noto Sans CJK SC"/>
        <color theme="1"/>
        <sz val="10.0"/>
      </rPr>
      <t>원판</t>
    </r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</si>
  <si>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층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표준 </t>
    </r>
    <r>
      <rPr>
        <rFont val="Arial"/>
        <color theme="1"/>
        <sz val="10.0"/>
      </rPr>
      <t xml:space="preserve">1~2oz </t>
    </r>
    <r>
      <rPr>
        <rFont val="Noto Sans CJK SC"/>
        <color theme="1"/>
        <sz val="10.0"/>
      </rPr>
      <t>동박</t>
    </r>
  </si>
  <si>
    <r>
      <rPr>
        <rFont val="Noto Sans CJK SC"/>
        <color theme="1"/>
        <sz val="10.0"/>
      </rPr>
      <t xml:space="preserve">전 계열 </t>
    </r>
    <r>
      <rPr>
        <rFont val="Arial"/>
        <color theme="1"/>
        <sz val="10.0"/>
      </rPr>
      <t xml:space="preserve">50A </t>
    </r>
    <r>
      <rPr>
        <rFont val="Noto Sans CJK SC"/>
        <color theme="1"/>
        <sz val="10.0"/>
      </rPr>
      <t>통일로 후동박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부스바 불필요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견적 필요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</si>
  <si>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PCB/</t>
    </r>
    <r>
      <rPr>
        <rFont val="Noto Sans CJK SC"/>
        <color theme="1"/>
        <sz val="10.0"/>
      </rPr>
      <t>기타</t>
    </r>
  </si>
  <si>
    <r>
      <rPr>
        <rFont val="Arial"/>
        <color theme="1"/>
        <sz val="10.0"/>
      </rPr>
      <t xml:space="preserve">FET </t>
    </r>
    <r>
      <rPr>
        <rFont val="Noto Sans CJK SC"/>
        <color theme="1"/>
        <sz val="10.0"/>
      </rPr>
      <t>방열패드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방열판</t>
    </r>
  </si>
  <si>
    <r>
      <rPr>
        <rFont val="Arial"/>
        <color theme="1"/>
        <sz val="10.0"/>
      </rPr>
      <t>TO-220</t>
    </r>
    <r>
      <rPr>
        <rFont val="Noto Sans CJK SC"/>
        <color theme="1"/>
        <sz val="10.0"/>
      </rPr>
      <t>용 소형</t>
    </r>
  </si>
  <si>
    <r>
      <rPr>
        <rFont val="Arial"/>
        <color theme="1"/>
        <sz val="10.0"/>
      </rPr>
      <t xml:space="preserve">IRFB4110×2 </t>
    </r>
    <r>
      <rPr>
        <rFont val="Noto Sans CJK SC"/>
        <color theme="1"/>
        <sz val="10.0"/>
      </rPr>
      <t>공용</t>
    </r>
  </si>
  <si>
    <r>
      <rPr>
        <rFont val="Noto Sans CJK SC"/>
        <b/>
        <color theme="1"/>
        <sz val="10.0"/>
      </rPr>
      <t xml:space="preserve">합계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>단가 총합</t>
    </r>
    <r>
      <rPr>
        <rFont val="Arial"/>
        <b/>
        <color theme="1"/>
        <sz val="10.0"/>
      </rPr>
      <t>)</t>
    </r>
  </si>
  <si>
    <r>
      <rPr>
        <rFont val="Noto Sans CJK SC"/>
        <i/>
        <color rgb="FF777777"/>
        <sz val="9.0"/>
      </rPr>
      <t>주</t>
    </r>
    <r>
      <rPr>
        <rFont val="Arial"/>
        <i/>
        <color rgb="FF777777"/>
        <sz val="9.0"/>
      </rPr>
      <t xml:space="preserve">: </t>
    </r>
    <r>
      <rPr>
        <rFont val="Noto Sans CJK SC"/>
        <i/>
        <color rgb="FF777777"/>
        <sz val="9.0"/>
      </rPr>
      <t xml:space="preserve">단가는 </t>
    </r>
    <r>
      <rPr>
        <rFont val="Arial"/>
        <i/>
        <color rgb="FF777777"/>
        <sz val="9.0"/>
      </rPr>
      <t xml:space="preserve">LCSC/Digikey </t>
    </r>
    <r>
      <rPr>
        <rFont val="Noto Sans CJK SC"/>
        <i/>
        <color rgb="FF777777"/>
        <sz val="9.0"/>
      </rPr>
      <t>등 공개 유통가 또는 유사부품 참고 추정치이며</t>
    </r>
    <r>
      <rPr>
        <rFont val="Arial"/>
        <i/>
        <color rgb="FF777777"/>
        <sz val="9.0"/>
      </rPr>
      <t xml:space="preserve">, </t>
    </r>
    <r>
      <rPr>
        <rFont val="Noto Sans CJK SC"/>
        <i/>
        <color rgb="FF777777"/>
        <sz val="9.0"/>
      </rPr>
      <t>실제 조달가는 물량</t>
    </r>
    <r>
      <rPr>
        <rFont val="Arial"/>
        <i/>
        <color rgb="FF777777"/>
        <sz val="9.0"/>
      </rPr>
      <t>/</t>
    </r>
    <r>
      <rPr>
        <rFont val="Noto Sans CJK SC"/>
        <i/>
        <color rgb="FF777777"/>
        <sz val="9.0"/>
      </rPr>
      <t>벤더 견적에 따라 달라질 수 있음</t>
    </r>
    <r>
      <rPr>
        <rFont val="Arial"/>
        <i/>
        <color rgb="FF777777"/>
        <sz val="9.0"/>
      </rPr>
      <t xml:space="preserve">. </t>
    </r>
    <r>
      <rPr>
        <rFont val="Noto Sans CJK SC"/>
        <i/>
        <color rgb="FF777777"/>
        <sz val="9.0"/>
      </rPr>
      <t xml:space="preserve">외부 </t>
    </r>
    <r>
      <rPr>
        <rFont val="Arial"/>
        <i/>
        <color rgb="FF777777"/>
        <sz val="9.0"/>
      </rPr>
      <t xml:space="preserve">SMPS, </t>
    </r>
    <r>
      <rPr>
        <rFont val="Noto Sans CJK SC"/>
        <i/>
        <color rgb="FF777777"/>
        <sz val="9.0"/>
      </rPr>
      <t>인클로저</t>
    </r>
    <r>
      <rPr>
        <rFont val="Arial"/>
        <i/>
        <color rgb="FF777777"/>
        <sz val="9.0"/>
      </rPr>
      <t xml:space="preserve">, </t>
    </r>
    <r>
      <rPr>
        <rFont val="Noto Sans CJK SC"/>
        <i/>
        <color rgb="FF777777"/>
        <sz val="9.0"/>
      </rPr>
      <t>케이블</t>
    </r>
    <r>
      <rPr>
        <rFont val="Arial"/>
        <i/>
        <color rgb="FF777777"/>
        <sz val="9.0"/>
      </rPr>
      <t>/</t>
    </r>
    <r>
      <rPr>
        <rFont val="Noto Sans CJK SC"/>
        <i/>
        <color rgb="FF777777"/>
        <sz val="9.0"/>
      </rPr>
      <t>하네스</t>
    </r>
    <r>
      <rPr>
        <rFont val="Arial"/>
        <i/>
        <color rgb="FF777777"/>
        <sz val="9.0"/>
      </rPr>
      <t xml:space="preserve">, </t>
    </r>
    <r>
      <rPr>
        <rFont val="Noto Sans CJK SC"/>
        <i/>
        <color rgb="FF777777"/>
        <sz val="9.0"/>
      </rPr>
      <t xml:space="preserve">조립비는 본 </t>
    </r>
    <r>
      <rPr>
        <rFont val="Arial"/>
        <i/>
        <color rgb="FF777777"/>
        <sz val="9.0"/>
      </rPr>
      <t>BOM</t>
    </r>
    <r>
      <rPr>
        <rFont val="Noto Sans CJK SC"/>
        <i/>
        <color rgb="FF777777"/>
        <sz val="9.0"/>
      </rPr>
      <t>에서 제외</t>
    </r>
    <r>
      <rPr>
        <rFont val="Arial"/>
        <i/>
        <color rgb="FF777777"/>
        <sz val="9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</si>
</sst>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rgb="FFFFFFFF"/>
      <name val="Noto Sans"/>
    </font>
    <font>
      <sz val="10.0"/>
      <color theme="1"/>
      <name val="Arial"/>
    </font>
    <font>
      <sz val="10.0"/>
      <color theme="1"/>
      <name val="Noto Sans"/>
    </font>
    <font>
      <b/>
      <sz val="10.0"/>
      <color theme="1"/>
      <name val="Noto Sans"/>
    </font>
    <font>
      <b/>
      <sz val="10.0"/>
      <color theme="1"/>
      <name val="Arial"/>
    </font>
    <font>
      <i/>
      <sz val="9.0"/>
      <color rgb="FF777777"/>
      <name val="Noto Sans"/>
    </font>
  </fonts>
  <fills count="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164" xfId="0" applyAlignment="1" applyBorder="1" applyFont="1" applyNumberFormat="1">
      <alignment horizontal="right" shrinkToFit="0" vertical="bottom" wrapText="0"/>
    </xf>
    <xf borderId="1" fillId="3" fontId="7" numFmtId="0" xfId="0" applyAlignment="1" applyBorder="1" applyFill="1" applyFont="1">
      <alignment horizontal="right" shrinkToFit="0" vertical="bottom" wrapText="0"/>
    </xf>
    <xf borderId="1" fillId="3" fontId="8" numFmtId="164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22.0"/>
    <col customWidth="1" min="4" max="4" width="30.0"/>
    <col customWidth="1" min="5" max="5" width="20.0"/>
    <col customWidth="1" min="6" max="6" width="7.0"/>
    <col customWidth="1" min="7" max="7" width="10.0"/>
    <col customWidth="1" min="8" max="8" width="11.0"/>
    <col customWidth="1" min="9" max="9" width="34.0"/>
    <col customWidth="1" min="10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>
      <c r="A5" s="5">
        <v>1.0</v>
      </c>
      <c r="B5" s="6" t="s">
        <v>11</v>
      </c>
      <c r="C5" s="6" t="s">
        <v>12</v>
      </c>
      <c r="D5" s="7" t="s">
        <v>13</v>
      </c>
      <c r="E5" s="7" t="s">
        <v>14</v>
      </c>
      <c r="F5" s="5">
        <v>1.0</v>
      </c>
      <c r="G5" s="8">
        <v>1.5</v>
      </c>
      <c r="H5" s="8">
        <f t="shared" ref="H5:H26" si="1">F5*G5</f>
        <v>1.5</v>
      </c>
      <c r="I5" s="7" t="s">
        <v>15</v>
      </c>
    </row>
    <row r="6">
      <c r="A6" s="5">
        <v>2.0</v>
      </c>
      <c r="B6" s="6" t="s">
        <v>16</v>
      </c>
      <c r="C6" s="6" t="s">
        <v>17</v>
      </c>
      <c r="D6" s="7" t="s">
        <v>18</v>
      </c>
      <c r="E6" s="7" t="s">
        <v>19</v>
      </c>
      <c r="F6" s="5">
        <v>1.0</v>
      </c>
      <c r="G6" s="8">
        <v>0.47</v>
      </c>
      <c r="H6" s="8">
        <f t="shared" si="1"/>
        <v>0.47</v>
      </c>
      <c r="I6" s="7" t="s">
        <v>20</v>
      </c>
    </row>
    <row r="7">
      <c r="A7" s="5">
        <v>3.0</v>
      </c>
      <c r="B7" s="6" t="s">
        <v>21</v>
      </c>
      <c r="C7" s="6" t="s">
        <v>22</v>
      </c>
      <c r="D7" s="7" t="s">
        <v>23</v>
      </c>
      <c r="E7" s="7" t="s">
        <v>24</v>
      </c>
      <c r="F7" s="5">
        <v>2.0</v>
      </c>
      <c r="G7" s="8">
        <v>0.42</v>
      </c>
      <c r="H7" s="8">
        <f t="shared" si="1"/>
        <v>0.84</v>
      </c>
      <c r="I7" s="6" t="s">
        <v>25</v>
      </c>
    </row>
    <row r="8">
      <c r="A8" s="5">
        <v>4.0</v>
      </c>
      <c r="B8" s="6" t="s">
        <v>26</v>
      </c>
      <c r="C8" s="7" t="s">
        <v>27</v>
      </c>
      <c r="D8" s="7" t="s">
        <v>28</v>
      </c>
      <c r="E8" s="6" t="s">
        <v>29</v>
      </c>
      <c r="F8" s="5">
        <v>1.0</v>
      </c>
      <c r="G8" s="8">
        <v>0.8</v>
      </c>
      <c r="H8" s="8">
        <f t="shared" si="1"/>
        <v>0.8</v>
      </c>
      <c r="I8" s="6" t="s">
        <v>30</v>
      </c>
    </row>
    <row r="9">
      <c r="A9" s="5">
        <v>5.0</v>
      </c>
      <c r="B9" s="6" t="s">
        <v>31</v>
      </c>
      <c r="C9" s="6" t="s">
        <v>32</v>
      </c>
      <c r="D9" s="7" t="s">
        <v>33</v>
      </c>
      <c r="E9" s="6" t="s">
        <v>34</v>
      </c>
      <c r="F9" s="5">
        <v>1.0</v>
      </c>
      <c r="G9" s="8">
        <v>2.0</v>
      </c>
      <c r="H9" s="8">
        <f t="shared" si="1"/>
        <v>2</v>
      </c>
      <c r="I9" s="6" t="s">
        <v>35</v>
      </c>
    </row>
    <row r="10">
      <c r="A10" s="5">
        <v>6.0</v>
      </c>
      <c r="B10" s="6" t="s">
        <v>36</v>
      </c>
      <c r="C10" s="7" t="s">
        <v>37</v>
      </c>
      <c r="D10" s="7" t="s">
        <v>38</v>
      </c>
      <c r="E10" s="7" t="s">
        <v>39</v>
      </c>
      <c r="F10" s="5">
        <v>1.0</v>
      </c>
      <c r="G10" s="8">
        <v>1.61</v>
      </c>
      <c r="H10" s="8">
        <f t="shared" si="1"/>
        <v>1.61</v>
      </c>
      <c r="I10" s="6" t="s">
        <v>40</v>
      </c>
    </row>
    <row r="11">
      <c r="A11" s="5">
        <v>7.0</v>
      </c>
      <c r="B11" s="6" t="s">
        <v>36</v>
      </c>
      <c r="C11" s="7" t="s">
        <v>41</v>
      </c>
      <c r="D11" s="7" t="s">
        <v>42</v>
      </c>
      <c r="E11" s="6" t="s">
        <v>43</v>
      </c>
      <c r="F11" s="5">
        <v>1.0</v>
      </c>
      <c r="G11" s="8">
        <v>0.05</v>
      </c>
      <c r="H11" s="8">
        <f t="shared" si="1"/>
        <v>0.05</v>
      </c>
      <c r="I11" s="7" t="s">
        <v>44</v>
      </c>
    </row>
    <row r="12">
      <c r="A12" s="5">
        <v>8.0</v>
      </c>
      <c r="B12" s="6" t="s">
        <v>36</v>
      </c>
      <c r="C12" s="7" t="s">
        <v>45</v>
      </c>
      <c r="D12" s="7" t="s">
        <v>46</v>
      </c>
      <c r="E12" s="7" t="s">
        <v>47</v>
      </c>
      <c r="F12" s="5">
        <v>2.0</v>
      </c>
      <c r="G12" s="8">
        <v>0.02</v>
      </c>
      <c r="H12" s="8">
        <f t="shared" si="1"/>
        <v>0.04</v>
      </c>
      <c r="I12" s="7" t="s">
        <v>48</v>
      </c>
    </row>
    <row r="13">
      <c r="A13" s="5">
        <v>9.0</v>
      </c>
      <c r="B13" s="6" t="s">
        <v>49</v>
      </c>
      <c r="C13" s="7" t="s">
        <v>50</v>
      </c>
      <c r="D13" s="7" t="s">
        <v>51</v>
      </c>
      <c r="E13" s="7" t="s">
        <v>52</v>
      </c>
      <c r="F13" s="5">
        <v>1.0</v>
      </c>
      <c r="G13" s="8">
        <v>0.35</v>
      </c>
      <c r="H13" s="8">
        <f t="shared" si="1"/>
        <v>0.35</v>
      </c>
      <c r="I13" s="6" t="s">
        <v>53</v>
      </c>
    </row>
    <row r="14">
      <c r="A14" s="5">
        <v>10.0</v>
      </c>
      <c r="B14" s="6" t="s">
        <v>49</v>
      </c>
      <c r="C14" s="6" t="s">
        <v>54</v>
      </c>
      <c r="D14" s="7" t="s">
        <v>55</v>
      </c>
      <c r="E14" s="7" t="s">
        <v>47</v>
      </c>
      <c r="F14" s="5">
        <v>1.0</v>
      </c>
      <c r="G14" s="8">
        <v>0.05</v>
      </c>
      <c r="H14" s="8">
        <f t="shared" si="1"/>
        <v>0.05</v>
      </c>
      <c r="I14" s="6" t="s">
        <v>56</v>
      </c>
    </row>
    <row r="15">
      <c r="A15" s="5">
        <v>11.0</v>
      </c>
      <c r="B15" s="6" t="s">
        <v>49</v>
      </c>
      <c r="C15" s="6" t="s">
        <v>57</v>
      </c>
      <c r="D15" s="7" t="s">
        <v>58</v>
      </c>
      <c r="E15" s="7" t="s">
        <v>47</v>
      </c>
      <c r="F15" s="5">
        <v>2.0</v>
      </c>
      <c r="G15" s="8">
        <v>0.05</v>
      </c>
      <c r="H15" s="8">
        <f t="shared" si="1"/>
        <v>0.1</v>
      </c>
      <c r="I15" s="7" t="s">
        <v>59</v>
      </c>
    </row>
    <row r="16">
      <c r="A16" s="5">
        <v>12.0</v>
      </c>
      <c r="B16" s="6" t="s">
        <v>49</v>
      </c>
      <c r="C16" s="7" t="s">
        <v>60</v>
      </c>
      <c r="D16" s="7" t="s">
        <v>61</v>
      </c>
      <c r="E16" s="7" t="s">
        <v>47</v>
      </c>
      <c r="F16" s="5">
        <v>2.0</v>
      </c>
      <c r="G16" s="8">
        <v>0.01</v>
      </c>
      <c r="H16" s="8">
        <f t="shared" si="1"/>
        <v>0.02</v>
      </c>
      <c r="I16" s="7" t="s">
        <v>47</v>
      </c>
    </row>
    <row r="17">
      <c r="A17" s="5">
        <v>13.0</v>
      </c>
      <c r="B17" s="6" t="s">
        <v>49</v>
      </c>
      <c r="C17" s="7" t="s">
        <v>62</v>
      </c>
      <c r="D17" s="7" t="s">
        <v>63</v>
      </c>
      <c r="E17" s="6" t="s">
        <v>64</v>
      </c>
      <c r="F17" s="5">
        <v>1.0</v>
      </c>
      <c r="G17" s="8">
        <v>0.5</v>
      </c>
      <c r="H17" s="8">
        <f t="shared" si="1"/>
        <v>0.5</v>
      </c>
      <c r="I17" s="7" t="s">
        <v>65</v>
      </c>
    </row>
    <row r="18">
      <c r="A18" s="5">
        <v>14.0</v>
      </c>
      <c r="B18" s="6" t="s">
        <v>66</v>
      </c>
      <c r="C18" s="6" t="s">
        <v>67</v>
      </c>
      <c r="D18" s="7" t="s">
        <v>68</v>
      </c>
      <c r="E18" s="6" t="s">
        <v>69</v>
      </c>
      <c r="F18" s="5">
        <v>1.0</v>
      </c>
      <c r="G18" s="8">
        <v>0.05</v>
      </c>
      <c r="H18" s="8">
        <f t="shared" si="1"/>
        <v>0.05</v>
      </c>
      <c r="I18" s="7" t="s">
        <v>70</v>
      </c>
    </row>
    <row r="19">
      <c r="A19" s="5">
        <v>15.0</v>
      </c>
      <c r="B19" s="6" t="s">
        <v>66</v>
      </c>
      <c r="C19" s="6" t="s">
        <v>71</v>
      </c>
      <c r="D19" s="7" t="s">
        <v>72</v>
      </c>
      <c r="E19" s="7" t="s">
        <v>47</v>
      </c>
      <c r="F19" s="5">
        <v>1.0</v>
      </c>
      <c r="G19" s="8">
        <v>0.01</v>
      </c>
      <c r="H19" s="8">
        <f t="shared" si="1"/>
        <v>0.01</v>
      </c>
      <c r="I19" s="7" t="s">
        <v>47</v>
      </c>
    </row>
    <row r="20">
      <c r="A20" s="5">
        <v>16.0</v>
      </c>
      <c r="B20" s="6" t="s">
        <v>66</v>
      </c>
      <c r="C20" s="6" t="s">
        <v>73</v>
      </c>
      <c r="D20" s="7" t="s">
        <v>74</v>
      </c>
      <c r="E20" s="7" t="s">
        <v>47</v>
      </c>
      <c r="F20" s="5">
        <v>1.0</v>
      </c>
      <c r="G20" s="8">
        <v>0.02</v>
      </c>
      <c r="H20" s="8">
        <f t="shared" si="1"/>
        <v>0.02</v>
      </c>
      <c r="I20" s="6" t="s">
        <v>75</v>
      </c>
    </row>
    <row r="21" ht="15.75" customHeight="1">
      <c r="A21" s="5">
        <v>17.0</v>
      </c>
      <c r="B21" s="6" t="s">
        <v>76</v>
      </c>
      <c r="C21" s="7" t="s">
        <v>77</v>
      </c>
      <c r="D21" s="7" t="s">
        <v>78</v>
      </c>
      <c r="E21" s="7" t="s">
        <v>47</v>
      </c>
      <c r="F21" s="5">
        <v>1.0</v>
      </c>
      <c r="G21" s="8">
        <v>0.02</v>
      </c>
      <c r="H21" s="8">
        <f t="shared" si="1"/>
        <v>0.02</v>
      </c>
      <c r="I21" s="6" t="s">
        <v>79</v>
      </c>
    </row>
    <row r="22" ht="15.75" customHeight="1">
      <c r="A22" s="5">
        <v>18.0</v>
      </c>
      <c r="B22" s="6" t="s">
        <v>76</v>
      </c>
      <c r="C22" s="7" t="s">
        <v>80</v>
      </c>
      <c r="D22" s="7" t="s">
        <v>81</v>
      </c>
      <c r="E22" s="7" t="s">
        <v>47</v>
      </c>
      <c r="F22" s="5">
        <v>1.0</v>
      </c>
      <c r="G22" s="8">
        <v>0.01</v>
      </c>
      <c r="H22" s="8">
        <f t="shared" si="1"/>
        <v>0.01</v>
      </c>
      <c r="I22" s="7" t="s">
        <v>47</v>
      </c>
    </row>
    <row r="23" ht="15.75" customHeight="1">
      <c r="A23" s="5">
        <v>19.0</v>
      </c>
      <c r="B23" s="6" t="s">
        <v>76</v>
      </c>
      <c r="C23" s="7" t="s">
        <v>82</v>
      </c>
      <c r="D23" s="7" t="s">
        <v>83</v>
      </c>
      <c r="E23" s="7" t="s">
        <v>47</v>
      </c>
      <c r="F23" s="5">
        <v>1.0</v>
      </c>
      <c r="G23" s="8">
        <v>0.01</v>
      </c>
      <c r="H23" s="8">
        <f t="shared" si="1"/>
        <v>0.01</v>
      </c>
      <c r="I23" s="7" t="s">
        <v>47</v>
      </c>
    </row>
    <row r="24" ht="15.75" customHeight="1">
      <c r="A24" s="5">
        <v>20.0</v>
      </c>
      <c r="B24" s="6" t="s">
        <v>76</v>
      </c>
      <c r="C24" s="6" t="s">
        <v>84</v>
      </c>
      <c r="D24" s="7" t="s">
        <v>85</v>
      </c>
      <c r="E24" s="7" t="s">
        <v>47</v>
      </c>
      <c r="F24" s="5">
        <v>1.0</v>
      </c>
      <c r="G24" s="8">
        <v>0.1</v>
      </c>
      <c r="H24" s="8">
        <f t="shared" si="1"/>
        <v>0.1</v>
      </c>
      <c r="I24" s="6" t="s">
        <v>86</v>
      </c>
    </row>
    <row r="25" ht="15.75" customHeight="1">
      <c r="A25" s="5">
        <v>21.0</v>
      </c>
      <c r="B25" s="7" t="s">
        <v>87</v>
      </c>
      <c r="C25" s="7" t="s">
        <v>88</v>
      </c>
      <c r="D25" s="7" t="s">
        <v>89</v>
      </c>
      <c r="E25" s="7" t="s">
        <v>47</v>
      </c>
      <c r="F25" s="5">
        <v>1.0</v>
      </c>
      <c r="G25" s="8">
        <v>3.0</v>
      </c>
      <c r="H25" s="8">
        <f t="shared" si="1"/>
        <v>3</v>
      </c>
      <c r="I25" s="6" t="s">
        <v>90</v>
      </c>
    </row>
    <row r="26" ht="15.75" customHeight="1">
      <c r="A26" s="5">
        <v>22.0</v>
      </c>
      <c r="B26" s="7" t="s">
        <v>91</v>
      </c>
      <c r="C26" s="7" t="s">
        <v>92</v>
      </c>
      <c r="D26" s="7" t="s">
        <v>93</v>
      </c>
      <c r="E26" s="7" t="s">
        <v>47</v>
      </c>
      <c r="F26" s="5">
        <v>1.0</v>
      </c>
      <c r="G26" s="8">
        <v>0.3</v>
      </c>
      <c r="H26" s="8">
        <f t="shared" si="1"/>
        <v>0.3</v>
      </c>
      <c r="I26" s="7" t="s">
        <v>94</v>
      </c>
    </row>
    <row r="27" ht="15.75" customHeight="1">
      <c r="G27" s="9" t="s">
        <v>95</v>
      </c>
      <c r="H27" s="10">
        <f>SUM(H5:H26)</f>
        <v>11.85</v>
      </c>
    </row>
    <row r="28" ht="15.75" customHeight="1"/>
    <row r="29" ht="15.75" customHeight="1">
      <c r="A29" s="11" t="s">
        <v>96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29:I29"/>
  </mergeCells>
  <printOptions/>
  <pageMargins bottom="1.0" footer="0.0" header="0.0" left="0.75" right="0.75" top="1.0"/>
  <pageSetup paperSize="9" orientation="portrait"/>
  <drawing r:id="rId1"/>
</worksheet>
</file>